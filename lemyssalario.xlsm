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360" yWindow="15" windowWidth="19440" windowHeight="10170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G14" i="1" l="1"/>
  <c r="G17" i="1" l="1"/>
  <c r="E20" i="1" l="1"/>
  <c r="E19" i="1"/>
  <c r="E18" i="1"/>
  <c r="E17" i="1"/>
  <c r="E2" i="1"/>
  <c r="G2" i="1" s="1"/>
  <c r="E16" i="1"/>
  <c r="E15" i="1"/>
  <c r="G3" i="1"/>
  <c r="G4" i="1"/>
  <c r="G5" i="1"/>
  <c r="G6" i="1"/>
  <c r="G7" i="1"/>
  <c r="G8" i="1"/>
  <c r="G9" i="1"/>
  <c r="G10" i="1"/>
  <c r="G1" i="1"/>
  <c r="F3" i="1"/>
  <c r="F4" i="1"/>
  <c r="F5" i="1"/>
  <c r="F6" i="1"/>
  <c r="F7" i="1"/>
  <c r="F8" i="1"/>
  <c r="F9" i="1"/>
  <c r="F10" i="1"/>
  <c r="F1" i="1"/>
  <c r="E3" i="1"/>
  <c r="E4" i="1"/>
  <c r="E5" i="1"/>
  <c r="E6" i="1"/>
  <c r="E7" i="1"/>
  <c r="E8" i="1"/>
  <c r="E9" i="1"/>
  <c r="E10" i="1"/>
  <c r="E1" i="1"/>
  <c r="F2" i="1" l="1"/>
  <c r="I2" i="1"/>
  <c r="I1" i="1"/>
</calcChain>
</file>

<file path=xl/sharedStrings.xml><?xml version="1.0" encoding="utf-8"?>
<sst xmlns="http://schemas.openxmlformats.org/spreadsheetml/2006/main" count="27" uniqueCount="19">
  <si>
    <t>Nome</t>
  </si>
  <si>
    <t>Nota1</t>
  </si>
  <si>
    <t>Nota2</t>
  </si>
  <si>
    <t>Media</t>
  </si>
  <si>
    <t>Faltas</t>
  </si>
  <si>
    <t>Situação final</t>
  </si>
  <si>
    <t>Situação por nota</t>
  </si>
  <si>
    <t>Ana</t>
  </si>
  <si>
    <t>Lucas</t>
  </si>
  <si>
    <t>Francine</t>
  </si>
  <si>
    <t>Soneide</t>
  </si>
  <si>
    <t>Augusto</t>
  </si>
  <si>
    <t>Rute</t>
  </si>
  <si>
    <t>Marcus</t>
  </si>
  <si>
    <t>João</t>
  </si>
  <si>
    <t>Leandro</t>
  </si>
  <si>
    <t>Mateus</t>
  </si>
  <si>
    <t>Cont.Apro</t>
  </si>
  <si>
    <t>Cont.Repro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</si>
</sst>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0"/>
  <sheetViews>
    <sheetView tabSelected="1" zoomScaleNormal="100" workbookViewId="0">
      <selection activeCell="G10" sqref="G10"/>
    </sheetView>
  </sheetViews>
  <sheetFormatPr defaultRowHeight="15" x14ac:dyDescent="0.25"/>
  <cols>
    <col min="1" max="1" width="9.28515625" customWidth="1"/>
    <col min="3" max="3" width="9.42578125" customWidth="1"/>
    <col min="4" max="4" width="19.42578125" customWidth="1"/>
    <col min="5" max="5" width="20" customWidth="1"/>
    <col min="6" max="6" width="22.5703125" customWidth="1"/>
    <col min="7" max="7" width="17.7109375" customWidth="1"/>
    <col min="8" max="8" width="13.5703125" customWidth="1"/>
    <col min="9" max="9" width="6.7109375" customWidth="1"/>
  </cols>
  <sheetData>
    <row r="1" spans="1:9" x14ac:dyDescent="0.25">
      <c r="A1" t="s">
        <v>7</v>
      </c>
      <c r="B1">
        <v>9</v>
      </c>
      <c r="C1">
        <v>7</v>
      </c>
      <c r="D1">
        <v>5</v>
      </c>
      <c r="E1">
        <f t="shared" ref="E1:E10" si="0">MEDIAN(B1,C1)</f>
        <v>8</v>
      </c>
      <c r="F1" t="str">
        <f>IF(E1&gt;5,"aprovado por media","reprovado por media")</f>
        <v>aprovado por media</v>
      </c>
      <c r="G1" t="str">
        <f>IF(AND(D1&lt;5,E1&gt;5),"APROVADO","REPROVADO")</f>
        <v>REPROVADO</v>
      </c>
      <c r="H1" t="s">
        <v>17</v>
      </c>
      <c r="I1">
        <f>COUNTIF(G:G,"APROVADO")</f>
        <v>3</v>
      </c>
    </row>
    <row r="2" spans="1:9" x14ac:dyDescent="0.25">
      <c r="A2" t="s">
        <v>8</v>
      </c>
      <c r="B2">
        <v>6.5</v>
      </c>
      <c r="C2">
        <v>9</v>
      </c>
      <c r="D2">
        <v>2</v>
      </c>
      <c r="E2">
        <f t="shared" si="0"/>
        <v>7.75</v>
      </c>
      <c r="F2" t="str">
        <f t="shared" ref="F2:F10" si="1">IF(E2&gt;5,"aprovado por media","reprovado por media")</f>
        <v>aprovado por media</v>
      </c>
      <c r="G2" t="str">
        <f t="shared" ref="G2:G10" si="2">IF(AND(D2&lt;5,E2&gt;5),"APROVADO","REPROVADO")</f>
        <v>APROVADO</v>
      </c>
      <c r="H2" t="s">
        <v>18</v>
      </c>
      <c r="I2">
        <f>COUNTIF(G:G,"REPROVADO")</f>
        <v>7</v>
      </c>
    </row>
    <row r="3" spans="1:9" x14ac:dyDescent="0.25">
      <c r="A3" t="s">
        <v>9</v>
      </c>
      <c r="B3">
        <v>7</v>
      </c>
      <c r="C3">
        <v>1</v>
      </c>
      <c r="D3">
        <v>9</v>
      </c>
      <c r="E3">
        <f t="shared" si="0"/>
        <v>4</v>
      </c>
      <c r="F3" t="str">
        <f t="shared" si="1"/>
        <v>reprovado por media</v>
      </c>
      <c r="G3" t="str">
        <f t="shared" si="2"/>
        <v>REPROVADO</v>
      </c>
    </row>
    <row r="4" spans="1:9" x14ac:dyDescent="0.25">
      <c r="A4" t="s">
        <v>10</v>
      </c>
      <c r="B4">
        <v>2</v>
      </c>
      <c r="C4">
        <v>3</v>
      </c>
      <c r="D4">
        <v>10</v>
      </c>
      <c r="E4">
        <f t="shared" si="0"/>
        <v>2.5</v>
      </c>
      <c r="F4" t="str">
        <f t="shared" si="1"/>
        <v>reprovado por media</v>
      </c>
      <c r="G4" t="str">
        <f t="shared" si="2"/>
        <v>REPROVADO</v>
      </c>
    </row>
    <row r="5" spans="1:9" x14ac:dyDescent="0.25">
      <c r="A5" t="s">
        <v>11</v>
      </c>
      <c r="B5">
        <v>1</v>
      </c>
      <c r="C5">
        <v>4</v>
      </c>
      <c r="D5">
        <v>2</v>
      </c>
      <c r="E5">
        <f t="shared" si="0"/>
        <v>2.5</v>
      </c>
      <c r="F5" t="str">
        <f t="shared" si="1"/>
        <v>reprovado por media</v>
      </c>
      <c r="G5" t="str">
        <f t="shared" si="2"/>
        <v>REPROVADO</v>
      </c>
    </row>
    <row r="6" spans="1:9" x14ac:dyDescent="0.25">
      <c r="A6" t="s">
        <v>12</v>
      </c>
      <c r="B6">
        <v>7</v>
      </c>
      <c r="C6">
        <v>6</v>
      </c>
      <c r="D6">
        <v>4</v>
      </c>
      <c r="E6">
        <f t="shared" si="0"/>
        <v>6.5</v>
      </c>
      <c r="F6" t="str">
        <f t="shared" si="1"/>
        <v>aprovado por media</v>
      </c>
      <c r="G6" t="str">
        <f t="shared" si="2"/>
        <v>APROVADO</v>
      </c>
    </row>
    <row r="7" spans="1:9" x14ac:dyDescent="0.25">
      <c r="A7" t="s">
        <v>13</v>
      </c>
      <c r="B7">
        <v>9</v>
      </c>
      <c r="C7">
        <v>7</v>
      </c>
      <c r="D7">
        <v>3</v>
      </c>
      <c r="E7">
        <f t="shared" si="0"/>
        <v>8</v>
      </c>
      <c r="F7" t="str">
        <f t="shared" si="1"/>
        <v>aprovado por media</v>
      </c>
      <c r="G7" t="str">
        <f t="shared" si="2"/>
        <v>APROVADO</v>
      </c>
    </row>
    <row r="8" spans="1:9" x14ac:dyDescent="0.25">
      <c r="A8" t="s">
        <v>14</v>
      </c>
      <c r="B8">
        <v>9</v>
      </c>
      <c r="C8">
        <v>10</v>
      </c>
      <c r="D8">
        <v>9</v>
      </c>
      <c r="E8">
        <f t="shared" si="0"/>
        <v>9.5</v>
      </c>
      <c r="F8" t="str">
        <f t="shared" si="1"/>
        <v>aprovado por media</v>
      </c>
      <c r="G8" t="str">
        <f t="shared" si="2"/>
        <v>REPROVADO</v>
      </c>
    </row>
    <row r="9" spans="1:9" x14ac:dyDescent="0.25">
      <c r="A9" t="s">
        <v>15</v>
      </c>
      <c r="B9">
        <v>5</v>
      </c>
      <c r="C9">
        <v>5</v>
      </c>
      <c r="D9">
        <v>10</v>
      </c>
      <c r="E9">
        <f t="shared" si="0"/>
        <v>5</v>
      </c>
      <c r="F9" t="str">
        <f t="shared" si="1"/>
        <v>reprovado por media</v>
      </c>
      <c r="G9" t="str">
        <f t="shared" si="2"/>
        <v>REPROVADO</v>
      </c>
    </row>
    <row r="10" spans="1:9" x14ac:dyDescent="0.25">
      <c r="A10" t="s">
        <v>16</v>
      </c>
      <c r="B10">
        <v>4</v>
      </c>
      <c r="C10">
        <v>3</v>
      </c>
      <c r="D10">
        <v>20</v>
      </c>
      <c r="E10">
        <f t="shared" si="0"/>
        <v>3.5</v>
      </c>
      <c r="F10" t="str">
        <f t="shared" si="1"/>
        <v>reprovado por media</v>
      </c>
      <c r="G10" t="str">
        <f t="shared" si="2"/>
        <v>REPROVADO</v>
      </c>
    </row>
    <row r="11" spans="1:9" x14ac:dyDescent="0.25">
      <c r="A11" s="1" t="s">
        <v>0</v>
      </c>
      <c r="B11" s="1" t="s">
        <v>1</v>
      </c>
      <c r="C11" s="1" t="s">
        <v>2</v>
      </c>
      <c r="D11" s="1" t="s">
        <v>4</v>
      </c>
      <c r="E11" s="1" t="s">
        <v>3</v>
      </c>
      <c r="F11" s="1" t="s">
        <v>6</v>
      </c>
      <c r="G11" s="1" t="s">
        <v>5</v>
      </c>
    </row>
    <row r="13" spans="1:9" ht="15.75" thickBot="1" x14ac:dyDescent="0.3"/>
    <row r="14" spans="1:9" x14ac:dyDescent="0.25">
      <c r="D14" s="2" t="s">
        <v>0</v>
      </c>
      <c r="E14" s="3" t="s">
        <v>14</v>
      </c>
      <c r="G14">
        <f>SUM(D1:E11)</f>
        <v>131.25</v>
      </c>
    </row>
    <row r="15" spans="1:9" x14ac:dyDescent="0.25">
      <c r="D15" s="4" t="s">
        <v>1</v>
      </c>
      <c r="E15" s="6">
        <f>VLOOKUP(E14,A1:G11,2,0)</f>
        <v>9</v>
      </c>
    </row>
    <row r="16" spans="1:9" x14ac:dyDescent="0.25">
      <c r="D16" s="4" t="s">
        <v>2</v>
      </c>
      <c r="E16" s="6">
        <f>VLOOKUP($E$14,$A$1:$G$11,3,FALSE)</f>
        <v>10</v>
      </c>
    </row>
    <row r="17" spans="4:7" x14ac:dyDescent="0.25">
      <c r="D17" s="4" t="s">
        <v>4</v>
      </c>
      <c r="E17" s="6">
        <f>VLOOKUP($E$14,$A$1:$G$11,4,FALSE)</f>
        <v>9</v>
      </c>
      <c r="G17">
        <f>SUMIF(D1:D10,"&gt;5",E1:E10)</f>
        <v>24.5</v>
      </c>
    </row>
    <row r="18" spans="4:7" x14ac:dyDescent="0.25">
      <c r="D18" s="4" t="s">
        <v>3</v>
      </c>
      <c r="E18" s="6">
        <f>VLOOKUP($E$14,$A$1:$G$11,5,FALSE)</f>
        <v>9.5</v>
      </c>
    </row>
    <row r="19" spans="4:7" x14ac:dyDescent="0.25">
      <c r="D19" s="4" t="s">
        <v>6</v>
      </c>
      <c r="E19" s="6" t="str">
        <f>VLOOKUP($E$14,$A$1:$G$11,6,FALSE)</f>
        <v>aprovado por media</v>
      </c>
    </row>
    <row r="20" spans="4:7" ht="15.75" thickBot="1" x14ac:dyDescent="0.3">
      <c r="D20" s="5" t="s">
        <v>5</v>
      </c>
      <c r="E20" s="7" t="str">
        <f>VLOOKUP($E$14,$A$1:$G$11,7,FALSE)</f>
        <v>REPROVADO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lab2aluno</dc:creator>
  <cp:lastModifiedBy>Lucas Sousa</cp:lastModifiedBy>
  <dcterms:created xsi:type="dcterms:W3CDTF">2013-04-18T10:19:33Z</dcterms:created>
  <dcterms:modified xsi:type="dcterms:W3CDTF">2014-03-02T00:06:34Z</dcterms:modified>
</cp:coreProperties>
</file>