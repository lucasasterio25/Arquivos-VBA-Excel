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360" yWindow="135" windowWidth="13395" windowHeight="7500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J23" i="1" l="1"/>
  <c r="P23" i="1"/>
  <c r="O23" i="1"/>
  <c r="N23" i="1"/>
  <c r="M23" i="1"/>
  <c r="L23" i="1"/>
  <c r="K23" i="1"/>
  <c r="J17" i="1"/>
  <c r="I15" i="1"/>
  <c r="J15" i="1" s="1"/>
  <c r="I16" i="1"/>
  <c r="J16" i="1" s="1"/>
  <c r="I14" i="1"/>
  <c r="J14" i="1" s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2" i="1"/>
  <c r="J6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2" i="1"/>
  <c r="B11" i="1"/>
  <c r="F11" i="1" s="1"/>
  <c r="G11" i="1" s="1"/>
  <c r="B12" i="1"/>
  <c r="F12" i="1" s="1"/>
  <c r="G12" i="1" s="1"/>
  <c r="B13" i="1"/>
  <c r="F13" i="1" s="1"/>
  <c r="G13" i="1" s="1"/>
  <c r="B14" i="1"/>
  <c r="F14" i="1" s="1"/>
  <c r="G14" i="1" s="1"/>
  <c r="B15" i="1"/>
  <c r="F15" i="1" s="1"/>
  <c r="G15" i="1" s="1"/>
  <c r="B16" i="1"/>
  <c r="F16" i="1" s="1"/>
  <c r="G16" i="1" s="1"/>
  <c r="B17" i="1"/>
  <c r="F17" i="1" s="1"/>
  <c r="G17" i="1" s="1"/>
  <c r="B18" i="1"/>
  <c r="F18" i="1" s="1"/>
  <c r="G18" i="1" s="1"/>
  <c r="B19" i="1"/>
  <c r="F19" i="1" s="1"/>
  <c r="G19" i="1" s="1"/>
  <c r="B20" i="1"/>
  <c r="F20" i="1" s="1"/>
  <c r="G20" i="1" s="1"/>
  <c r="B21" i="1"/>
  <c r="F21" i="1" s="1"/>
  <c r="G21" i="1" s="1"/>
  <c r="B22" i="1"/>
  <c r="F22" i="1" s="1"/>
  <c r="G22" i="1" s="1"/>
  <c r="B23" i="1"/>
  <c r="F23" i="1" s="1"/>
  <c r="G23" i="1" s="1"/>
  <c r="B24" i="1"/>
  <c r="F24" i="1" s="1"/>
  <c r="G24" i="1" s="1"/>
  <c r="B25" i="1"/>
  <c r="F25" i="1" s="1"/>
  <c r="G25" i="1" s="1"/>
  <c r="B26" i="1"/>
  <c r="F26" i="1" s="1"/>
  <c r="G26" i="1" s="1"/>
  <c r="B27" i="1"/>
  <c r="F27" i="1" s="1"/>
  <c r="G27" i="1" s="1"/>
  <c r="B28" i="1"/>
  <c r="F28" i="1" s="1"/>
  <c r="G28" i="1" s="1"/>
  <c r="B29" i="1"/>
  <c r="F29" i="1" s="1"/>
  <c r="G29" i="1" s="1"/>
  <c r="B30" i="1"/>
  <c r="F30" i="1" s="1"/>
  <c r="G30" i="1" s="1"/>
  <c r="B31" i="1"/>
  <c r="F31" i="1" s="1"/>
  <c r="G31" i="1" s="1"/>
  <c r="B32" i="1"/>
  <c r="F32" i="1" s="1"/>
  <c r="G32" i="1" s="1"/>
  <c r="B33" i="1"/>
  <c r="F33" i="1" s="1"/>
  <c r="G33" i="1" s="1"/>
  <c r="B34" i="1"/>
  <c r="F34" i="1" s="1"/>
  <c r="G34" i="1" s="1"/>
  <c r="B35" i="1"/>
  <c r="F35" i="1" s="1"/>
  <c r="G35" i="1" s="1"/>
  <c r="B36" i="1"/>
  <c r="F36" i="1" s="1"/>
  <c r="G36" i="1" s="1"/>
  <c r="B37" i="1"/>
  <c r="F37" i="1" s="1"/>
  <c r="G37" i="1" s="1"/>
  <c r="B38" i="1"/>
  <c r="F38" i="1" s="1"/>
  <c r="G38" i="1" s="1"/>
  <c r="B39" i="1"/>
  <c r="F39" i="1" s="1"/>
  <c r="G39" i="1" s="1"/>
  <c r="B40" i="1"/>
  <c r="F40" i="1" s="1"/>
  <c r="G40" i="1" s="1"/>
  <c r="B41" i="1"/>
  <c r="F41" i="1" s="1"/>
  <c r="G41" i="1" s="1"/>
  <c r="B42" i="1"/>
  <c r="F42" i="1" s="1"/>
  <c r="G42" i="1" s="1"/>
  <c r="B43" i="1"/>
  <c r="F43" i="1" s="1"/>
  <c r="G43" i="1" s="1"/>
  <c r="B44" i="1"/>
  <c r="F44" i="1" s="1"/>
  <c r="G44" i="1" s="1"/>
  <c r="B45" i="1"/>
  <c r="F45" i="1" s="1"/>
  <c r="G45" i="1" s="1"/>
  <c r="B46" i="1"/>
  <c r="F46" i="1" s="1"/>
  <c r="G46" i="1" s="1"/>
  <c r="B47" i="1"/>
  <c r="F47" i="1" s="1"/>
  <c r="G47" i="1" s="1"/>
  <c r="B48" i="1"/>
  <c r="F48" i="1" s="1"/>
  <c r="G48" i="1" s="1"/>
  <c r="B49" i="1"/>
  <c r="F49" i="1" s="1"/>
  <c r="G49" i="1" s="1"/>
  <c r="B50" i="1"/>
  <c r="F50" i="1" s="1"/>
  <c r="G50" i="1" s="1"/>
  <c r="B51" i="1"/>
  <c r="F51" i="1" s="1"/>
  <c r="G51" i="1" s="1"/>
  <c r="B52" i="1"/>
  <c r="F52" i="1" s="1"/>
  <c r="G52" i="1" s="1"/>
  <c r="B53" i="1"/>
  <c r="F53" i="1" s="1"/>
  <c r="G53" i="1" s="1"/>
  <c r="B54" i="1"/>
  <c r="F54" i="1" s="1"/>
  <c r="G54" i="1" s="1"/>
  <c r="B55" i="1"/>
  <c r="F55" i="1" s="1"/>
  <c r="G55" i="1" s="1"/>
  <c r="B56" i="1"/>
  <c r="F56" i="1" s="1"/>
  <c r="G56" i="1" s="1"/>
  <c r="B57" i="1"/>
  <c r="F57" i="1" s="1"/>
  <c r="G57" i="1" s="1"/>
  <c r="B58" i="1"/>
  <c r="F58" i="1" s="1"/>
  <c r="G58" i="1" s="1"/>
  <c r="B59" i="1"/>
  <c r="F59" i="1" s="1"/>
  <c r="G59" i="1" s="1"/>
  <c r="B60" i="1"/>
  <c r="F60" i="1" s="1"/>
  <c r="G60" i="1" s="1"/>
  <c r="B61" i="1"/>
  <c r="F61" i="1" s="1"/>
  <c r="G61" i="1" s="1"/>
  <c r="B62" i="1"/>
  <c r="F62" i="1" s="1"/>
  <c r="G62" i="1" s="1"/>
  <c r="B63" i="1"/>
  <c r="F63" i="1" s="1"/>
  <c r="G63" i="1" s="1"/>
  <c r="B64" i="1"/>
  <c r="F64" i="1" s="1"/>
  <c r="G64" i="1" s="1"/>
  <c r="B65" i="1"/>
  <c r="F65" i="1" s="1"/>
  <c r="G65" i="1" s="1"/>
  <c r="B66" i="1"/>
  <c r="F66" i="1" s="1"/>
  <c r="G66" i="1" s="1"/>
  <c r="B67" i="1"/>
  <c r="F67" i="1" s="1"/>
  <c r="G67" i="1" s="1"/>
  <c r="B68" i="1"/>
  <c r="F68" i="1" s="1"/>
  <c r="G68" i="1" s="1"/>
  <c r="B69" i="1"/>
  <c r="F69" i="1" s="1"/>
  <c r="G69" i="1" s="1"/>
  <c r="B70" i="1"/>
  <c r="F70" i="1" s="1"/>
  <c r="G70" i="1" s="1"/>
  <c r="B71" i="1"/>
  <c r="F71" i="1" s="1"/>
  <c r="G71" i="1" s="1"/>
  <c r="B72" i="1"/>
  <c r="F72" i="1" s="1"/>
  <c r="G72" i="1" s="1"/>
  <c r="B73" i="1"/>
  <c r="F73" i="1" s="1"/>
  <c r="G73" i="1" s="1"/>
  <c r="B74" i="1"/>
  <c r="F74" i="1" s="1"/>
  <c r="G74" i="1" s="1"/>
  <c r="B75" i="1"/>
  <c r="F75" i="1" s="1"/>
  <c r="G75" i="1" s="1"/>
  <c r="B76" i="1"/>
  <c r="F76" i="1" s="1"/>
  <c r="G76" i="1" s="1"/>
  <c r="B77" i="1"/>
  <c r="F77" i="1" s="1"/>
  <c r="G77" i="1" s="1"/>
  <c r="B78" i="1"/>
  <c r="F78" i="1" s="1"/>
  <c r="G78" i="1" s="1"/>
  <c r="B79" i="1"/>
  <c r="F79" i="1" s="1"/>
  <c r="G79" i="1" s="1"/>
  <c r="B80" i="1"/>
  <c r="F80" i="1" s="1"/>
  <c r="G80" i="1" s="1"/>
  <c r="B81" i="1"/>
  <c r="F81" i="1" s="1"/>
  <c r="G81" i="1" s="1"/>
  <c r="B82" i="1"/>
  <c r="F82" i="1" s="1"/>
  <c r="G82" i="1" s="1"/>
  <c r="B83" i="1"/>
  <c r="F83" i="1" s="1"/>
  <c r="G83" i="1" s="1"/>
  <c r="B84" i="1"/>
  <c r="F84" i="1" s="1"/>
  <c r="G84" i="1" s="1"/>
  <c r="B85" i="1"/>
  <c r="F85" i="1" s="1"/>
  <c r="G85" i="1" s="1"/>
  <c r="B86" i="1"/>
  <c r="F86" i="1" s="1"/>
  <c r="G86" i="1" s="1"/>
  <c r="B87" i="1"/>
  <c r="F87" i="1" s="1"/>
  <c r="G87" i="1" s="1"/>
  <c r="B88" i="1"/>
  <c r="F88" i="1" s="1"/>
  <c r="G88" i="1" s="1"/>
  <c r="B89" i="1"/>
  <c r="F89" i="1" s="1"/>
  <c r="G89" i="1" s="1"/>
  <c r="B90" i="1"/>
  <c r="F90" i="1" s="1"/>
  <c r="G90" i="1" s="1"/>
  <c r="B91" i="1"/>
  <c r="F91" i="1" s="1"/>
  <c r="G91" i="1" s="1"/>
  <c r="B92" i="1"/>
  <c r="F92" i="1" s="1"/>
  <c r="G92" i="1" s="1"/>
  <c r="B93" i="1"/>
  <c r="F93" i="1" s="1"/>
  <c r="G93" i="1" s="1"/>
  <c r="B94" i="1"/>
  <c r="F94" i="1" s="1"/>
  <c r="G94" i="1" s="1"/>
  <c r="B95" i="1"/>
  <c r="F95" i="1" s="1"/>
  <c r="G95" i="1" s="1"/>
  <c r="B96" i="1"/>
  <c r="F96" i="1" s="1"/>
  <c r="G96" i="1" s="1"/>
  <c r="B97" i="1"/>
  <c r="F97" i="1" s="1"/>
  <c r="G97" i="1" s="1"/>
  <c r="B98" i="1"/>
  <c r="F98" i="1" s="1"/>
  <c r="G98" i="1" s="1"/>
  <c r="B99" i="1"/>
  <c r="F99" i="1" s="1"/>
  <c r="G99" i="1" s="1"/>
  <c r="B100" i="1"/>
  <c r="F100" i="1" s="1"/>
  <c r="G100" i="1" s="1"/>
  <c r="B101" i="1"/>
  <c r="F101" i="1" s="1"/>
  <c r="G101" i="1" s="1"/>
  <c r="B2" i="1"/>
  <c r="F2" i="1" s="1"/>
  <c r="G2" i="1" s="1"/>
  <c r="B3" i="1"/>
  <c r="F3" i="1" s="1"/>
  <c r="G3" i="1" s="1"/>
  <c r="B4" i="1"/>
  <c r="F4" i="1" s="1"/>
  <c r="G4" i="1" s="1"/>
  <c r="B5" i="1"/>
  <c r="F5" i="1" s="1"/>
  <c r="G5" i="1" s="1"/>
  <c r="B6" i="1"/>
  <c r="F6" i="1" s="1"/>
  <c r="G6" i="1" s="1"/>
  <c r="B7" i="1"/>
  <c r="F7" i="1" s="1"/>
  <c r="G7" i="1" s="1"/>
  <c r="B8" i="1"/>
  <c r="F8" i="1" s="1"/>
  <c r="G8" i="1" s="1"/>
  <c r="B9" i="1"/>
  <c r="F9" i="1" s="1"/>
  <c r="G9" i="1" s="1"/>
  <c r="B10" i="1"/>
  <c r="F10" i="1" s="1"/>
  <c r="G10" i="1" s="1"/>
  <c r="J4" i="1" l="1"/>
  <c r="J5" i="1"/>
  <c r="J8" i="1"/>
  <c r="J3" i="1"/>
  <c r="J7" i="1"/>
  <c r="H100" i="1"/>
  <c r="H96" i="1"/>
  <c r="H92" i="1"/>
  <c r="H88" i="1"/>
  <c r="H84" i="1"/>
  <c r="H80" i="1"/>
  <c r="H78" i="1"/>
  <c r="H74" i="1"/>
  <c r="H98" i="1"/>
  <c r="H94" i="1"/>
  <c r="H90" i="1"/>
  <c r="H86" i="1"/>
  <c r="H82" i="1"/>
  <c r="H76" i="1"/>
  <c r="H72" i="1"/>
  <c r="H70" i="1"/>
  <c r="H68" i="1"/>
  <c r="H66" i="1"/>
  <c r="H64" i="1"/>
  <c r="H62" i="1"/>
  <c r="H60" i="1"/>
  <c r="H58" i="1"/>
  <c r="H56" i="1"/>
  <c r="H54" i="1"/>
  <c r="H52" i="1"/>
  <c r="H50" i="1"/>
  <c r="H48" i="1"/>
  <c r="H46" i="1"/>
  <c r="H44" i="1"/>
  <c r="H42" i="1"/>
  <c r="H40" i="1"/>
  <c r="H38" i="1"/>
  <c r="H36" i="1"/>
  <c r="H34" i="1"/>
  <c r="H32" i="1"/>
  <c r="H30" i="1"/>
  <c r="H28" i="1"/>
  <c r="H26" i="1"/>
  <c r="H24" i="1"/>
  <c r="H22" i="1"/>
  <c r="H20" i="1"/>
  <c r="H18" i="1"/>
  <c r="H16" i="1"/>
  <c r="H14" i="1"/>
  <c r="H12" i="1"/>
  <c r="H10" i="1"/>
  <c r="H8" i="1"/>
  <c r="H6" i="1"/>
  <c r="H4" i="1"/>
  <c r="H101" i="1"/>
  <c r="H99" i="1"/>
  <c r="H97" i="1"/>
  <c r="H95" i="1"/>
  <c r="H93" i="1"/>
  <c r="H91" i="1"/>
  <c r="H89" i="1"/>
  <c r="H87" i="1"/>
  <c r="H85" i="1"/>
  <c r="H83" i="1"/>
  <c r="H81" i="1"/>
  <c r="H79" i="1"/>
  <c r="H77" i="1"/>
  <c r="H75" i="1"/>
  <c r="H73" i="1"/>
  <c r="H71" i="1"/>
  <c r="H69" i="1"/>
  <c r="H67" i="1"/>
  <c r="H65" i="1"/>
  <c r="H63" i="1"/>
  <c r="H61" i="1"/>
  <c r="H59" i="1"/>
  <c r="H57" i="1"/>
  <c r="H55" i="1"/>
  <c r="H53" i="1"/>
  <c r="H51" i="1"/>
  <c r="H49" i="1"/>
  <c r="H47" i="1"/>
  <c r="H45" i="1"/>
  <c r="H43" i="1"/>
  <c r="H41" i="1"/>
  <c r="H39" i="1"/>
  <c r="H37" i="1"/>
  <c r="H35" i="1"/>
  <c r="H33" i="1"/>
  <c r="H31" i="1"/>
  <c r="H29" i="1"/>
  <c r="H27" i="1"/>
  <c r="H25" i="1"/>
  <c r="H23" i="1"/>
  <c r="H21" i="1"/>
  <c r="H19" i="1"/>
  <c r="H17" i="1"/>
  <c r="H15" i="1"/>
  <c r="H13" i="1"/>
  <c r="H11" i="1"/>
  <c r="H9" i="1"/>
  <c r="H7" i="1"/>
  <c r="H5" i="1"/>
  <c r="H3" i="1"/>
  <c r="H2" i="1"/>
  <c r="J9" i="1" l="1"/>
</calcChain>
</file>

<file path=xl/sharedStrings.xml><?xml version="1.0" encoding="utf-8"?>
<sst xmlns="http://schemas.openxmlformats.org/spreadsheetml/2006/main" count="127" uniqueCount="109">
  <si>
    <t>Alunos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</si>
  <si>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</si>
  <si>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</si>
  <si>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</si>
  <si>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</si>
  <si>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</si>
  <si>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</si>
  <si>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</si>
  <si>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</si>
  <si>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</si>
  <si>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</si>
  <si>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Aluno 11</t>
  </si>
  <si>
    <t>Aluno 12</t>
  </si>
  <si>
    <t>Aluno 13</t>
  </si>
  <si>
    <t>Aluno 14</t>
  </si>
  <si>
    <t>Aluno 15</t>
  </si>
  <si>
    <t>Aluno 16</t>
  </si>
  <si>
    <t>Aluno 17</t>
  </si>
  <si>
    <t>Aluno 18</t>
  </si>
  <si>
    <t>Aluno 19</t>
  </si>
  <si>
    <t>Aluno 20</t>
  </si>
  <si>
    <t>Aluno 21</t>
  </si>
  <si>
    <t>Aluno 22</t>
  </si>
  <si>
    <t>Aluno 23</t>
  </si>
  <si>
    <t>Aluno 24</t>
  </si>
  <si>
    <t>Aluno 25</t>
  </si>
  <si>
    <t>Aluno 26</t>
  </si>
  <si>
    <t>Aluno 27</t>
  </si>
  <si>
    <t>Aluno 28</t>
  </si>
  <si>
    <t>Aluno 29</t>
  </si>
  <si>
    <t>Aluno 30</t>
  </si>
  <si>
    <t>Aluno 31</t>
  </si>
  <si>
    <t>Aluno 32</t>
  </si>
  <si>
    <t>Aluno 33</t>
  </si>
  <si>
    <t>Aluno 34</t>
  </si>
  <si>
    <t>Aluno 35</t>
  </si>
  <si>
    <t>Aluno 36</t>
  </si>
  <si>
    <t>Aluno 37</t>
  </si>
  <si>
    <t>Aluno 38</t>
  </si>
  <si>
    <t>Aluno 39</t>
  </si>
  <si>
    <t>Aluno 40</t>
  </si>
  <si>
    <t>Aluno 41</t>
  </si>
  <si>
    <t>Aluno 42</t>
  </si>
  <si>
    <t>Aluno 43</t>
  </si>
  <si>
    <t>Aluno 44</t>
  </si>
  <si>
    <t>Aluno 45</t>
  </si>
  <si>
    <t>Aluno 46</t>
  </si>
  <si>
    <t>Aluno 47</t>
  </si>
  <si>
    <t>Aluno 48</t>
  </si>
  <si>
    <t>Aluno 49</t>
  </si>
  <si>
    <t>Aluno 50</t>
  </si>
  <si>
    <t>Aluno 51</t>
  </si>
  <si>
    <t>Aluno 52</t>
  </si>
  <si>
    <t>Aluno 53</t>
  </si>
  <si>
    <t>Aluno 54</t>
  </si>
  <si>
    <t>Aluno 55</t>
  </si>
  <si>
    <t>Aluno 56</t>
  </si>
  <si>
    <t>Aluno 57</t>
  </si>
  <si>
    <t>Aluno 58</t>
  </si>
  <si>
    <t>Aluno 59</t>
  </si>
  <si>
    <t>Aluno 60</t>
  </si>
  <si>
    <t>Aluno 61</t>
  </si>
  <si>
    <t>Aluno 62</t>
  </si>
  <si>
    <t>Aluno 63</t>
  </si>
  <si>
    <t>Aluno 64</t>
  </si>
  <si>
    <t>Aluno 65</t>
  </si>
  <si>
    <t>Aluno 66</t>
  </si>
  <si>
    <t>Aluno 67</t>
  </si>
  <si>
    <t>Aluno 68</t>
  </si>
  <si>
    <t>Aluno 69</t>
  </si>
  <si>
    <t>Aluno 70</t>
  </si>
  <si>
    <t>Aluno 71</t>
  </si>
  <si>
    <t>Aluno 72</t>
  </si>
  <si>
    <t>Aluno 73</t>
  </si>
  <si>
    <t>Aluno 74</t>
  </si>
  <si>
    <t>Aluno 75</t>
  </si>
  <si>
    <t>Aluno 76</t>
  </si>
  <si>
    <t>Aluno 77</t>
  </si>
  <si>
    <t>Aluno 78</t>
  </si>
  <si>
    <t>Aluno 79</t>
  </si>
  <si>
    <t>Aluno 80</t>
  </si>
  <si>
    <t>Aluno 81</t>
  </si>
  <si>
    <t>Aluno 82</t>
  </si>
  <si>
    <t>Aluno 83</t>
  </si>
  <si>
    <t>Aluno 84</t>
  </si>
  <si>
    <t>Aluno 85</t>
  </si>
  <si>
    <t>Aluno 86</t>
  </si>
  <si>
    <t>Aluno 87</t>
  </si>
  <si>
    <t>Aluno 88</t>
  </si>
  <si>
    <t>Aluno 89</t>
  </si>
  <si>
    <t>Aluno 90</t>
  </si>
  <si>
    <t>Aluno 91</t>
  </si>
  <si>
    <t>Aluno 92</t>
  </si>
  <si>
    <t>Aluno 93</t>
  </si>
  <si>
    <t>Aluno 94</t>
  </si>
  <si>
    <t>Aluno 95</t>
  </si>
  <si>
    <t>Aluno 96</t>
  </si>
  <si>
    <t>Aluno 97</t>
  </si>
  <si>
    <t>Aluno 98</t>
  </si>
  <si>
    <t>Aluno 99</t>
  </si>
  <si>
    <t>Aluno 100</t>
  </si>
  <si>
    <t>Nota 1</t>
  </si>
  <si>
    <t>Nota 2</t>
  </si>
  <si>
    <t>Nota 3</t>
  </si>
  <si>
    <t>Media</t>
  </si>
  <si>
    <t>Faltas</t>
  </si>
  <si>
    <t xml:space="preserve">Situaçao por nota </t>
  </si>
  <si>
    <t>Situaçao Geral</t>
  </si>
  <si>
    <t>Proc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</si>
</sst>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101"/>
  <sheetViews>
    <sheetView tabSelected="1" workbookViewId="0">
      <selection sqref="A1:H101"/>
    </sheetView>
  </sheetViews>
  <sheetFormatPr defaultRowHeight="15" x14ac:dyDescent="0.25"/>
  <cols>
    <col min="7" max="7" width="17.85546875" customWidth="1"/>
    <col min="8" max="9" width="21.7109375" customWidth="1"/>
    <col min="10" max="10" width="16.28515625" customWidth="1"/>
    <col min="11" max="11" width="13.85546875" customWidth="1"/>
    <col min="13" max="13" width="10.85546875" customWidth="1"/>
    <col min="15" max="15" width="19" customWidth="1"/>
    <col min="16" max="16" width="17.28515625" customWidth="1"/>
  </cols>
  <sheetData>
    <row r="1" spans="1:10" x14ac:dyDescent="0.25">
      <c r="A1" t="s">
        <v>0</v>
      </c>
      <c r="B1" t="s">
        <v>101</v>
      </c>
      <c r="C1" t="s">
        <v>102</v>
      </c>
      <c r="D1" t="s">
        <v>103</v>
      </c>
      <c r="E1" t="s">
        <v>105</v>
      </c>
      <c r="F1" t="s">
        <v>104</v>
      </c>
      <c r="G1" t="s">
        <v>106</v>
      </c>
      <c r="H1" t="s">
        <v>107</v>
      </c>
      <c r="I1" s="1" t="s">
        <v>108</v>
      </c>
      <c r="J1" s="1"/>
    </row>
    <row r="2" spans="1:10" x14ac:dyDescent="0.25">
      <c r="A2" t="s">
        <v>1</v>
      </c>
      <c r="B2">
        <f t="shared" ref="B2:D65" ca="1" si="0">RANDBETWEEN(0,10)</f>
        <v>9</v>
      </c>
      <c r="C2">
        <f ca="1">RANDBETWEEN(0,10)</f>
        <v>3</v>
      </c>
      <c r="D2">
        <f ca="1">RANDBETWEEN(0,10)</f>
        <v>4</v>
      </c>
      <c r="E2">
        <f ca="1">RANDBETWEEN(0,5)</f>
        <v>0</v>
      </c>
      <c r="F2">
        <f ca="1">MEDIAN(B2:E2)</f>
        <v>3.5</v>
      </c>
      <c r="G2" t="str">
        <f ca="1">IF(F2&gt;6,"Aprovado","Reprovado")</f>
        <v>Reprovado</v>
      </c>
      <c r="H2" t="str">
        <f ca="1">IF(AND(E2&lt;3,F2&gt;6),"Aprovado","Reprovado")</f>
        <v>Reprovado</v>
      </c>
      <c r="I2" s="2" t="s">
        <v>0</v>
      </c>
      <c r="J2" s="2" t="s">
        <v>5</v>
      </c>
    </row>
    <row r="3" spans="1:10" x14ac:dyDescent="0.25">
      <c r="A3" t="s">
        <v>2</v>
      </c>
      <c r="B3">
        <f t="shared" ca="1" si="0"/>
        <v>3</v>
      </c>
      <c r="C3">
        <f t="shared" ca="1" si="0"/>
        <v>7</v>
      </c>
      <c r="D3">
        <f t="shared" ca="1" si="0"/>
        <v>4</v>
      </c>
      <c r="E3">
        <f t="shared" ref="E3:E66" ca="1" si="1">RANDBETWEEN(0,5)</f>
        <v>5</v>
      </c>
      <c r="F3">
        <f t="shared" ref="F3:F66" ca="1" si="2">MEDIAN(B3:E3)</f>
        <v>4.5</v>
      </c>
      <c r="G3" t="str">
        <f t="shared" ref="G3:G66" ca="1" si="3">IF(F3&gt;6,"Aprovado","Reprovado")</f>
        <v>Reprovado</v>
      </c>
      <c r="H3" t="str">
        <f t="shared" ref="H3:H66" ca="1" si="4">IF(AND(E3&lt;3,F3&gt;6),"Aprovado","Reprovado")</f>
        <v>Reprovado</v>
      </c>
      <c r="I3" s="2" t="s">
        <v>101</v>
      </c>
      <c r="J3" s="2">
        <f ca="1">VLOOKUP($J$2,$A$1:$H$101,2,0)</f>
        <v>10</v>
      </c>
    </row>
    <row r="4" spans="1:10" x14ac:dyDescent="0.25">
      <c r="A4" t="s">
        <v>3</v>
      </c>
      <c r="B4">
        <f t="shared" ca="1" si="0"/>
        <v>8</v>
      </c>
      <c r="C4">
        <f t="shared" ca="1" si="0"/>
        <v>8</v>
      </c>
      <c r="D4">
        <f t="shared" ca="1" si="0"/>
        <v>8</v>
      </c>
      <c r="E4">
        <f t="shared" ca="1" si="1"/>
        <v>5</v>
      </c>
      <c r="F4">
        <f t="shared" ca="1" si="2"/>
        <v>8</v>
      </c>
      <c r="G4" t="str">
        <f t="shared" ca="1" si="3"/>
        <v>Aprovado</v>
      </c>
      <c r="H4" t="str">
        <f t="shared" ca="1" si="4"/>
        <v>Reprovado</v>
      </c>
      <c r="I4" s="2" t="s">
        <v>102</v>
      </c>
      <c r="J4" s="2">
        <f ca="1">VLOOKUP($J$2,$A$1:$H$101,3,0)</f>
        <v>9</v>
      </c>
    </row>
    <row r="5" spans="1:10" x14ac:dyDescent="0.25">
      <c r="A5" t="s">
        <v>4</v>
      </c>
      <c r="B5">
        <f t="shared" ca="1" si="0"/>
        <v>8</v>
      </c>
      <c r="C5">
        <f t="shared" ca="1" si="0"/>
        <v>2</v>
      </c>
      <c r="D5">
        <f t="shared" ca="1" si="0"/>
        <v>4</v>
      </c>
      <c r="E5">
        <f t="shared" ca="1" si="1"/>
        <v>3</v>
      </c>
      <c r="F5">
        <f t="shared" ca="1" si="2"/>
        <v>3.5</v>
      </c>
      <c r="G5" t="str">
        <f t="shared" ca="1" si="3"/>
        <v>Reprovado</v>
      </c>
      <c r="H5" t="str">
        <f t="shared" ca="1" si="4"/>
        <v>Reprovado</v>
      </c>
      <c r="I5" s="2" t="s">
        <v>103</v>
      </c>
      <c r="J5" s="2">
        <f ca="1">VLOOKUP($J$2,$A$1:$H$101,4,0)</f>
        <v>0</v>
      </c>
    </row>
    <row r="6" spans="1:10" x14ac:dyDescent="0.25">
      <c r="A6" t="s">
        <v>5</v>
      </c>
      <c r="B6">
        <f t="shared" ca="1" si="0"/>
        <v>10</v>
      </c>
      <c r="C6">
        <f t="shared" ca="1" si="0"/>
        <v>9</v>
      </c>
      <c r="D6">
        <f t="shared" ca="1" si="0"/>
        <v>0</v>
      </c>
      <c r="E6">
        <f t="shared" ca="1" si="1"/>
        <v>3</v>
      </c>
      <c r="F6">
        <f t="shared" ca="1" si="2"/>
        <v>6</v>
      </c>
      <c r="G6" t="str">
        <f t="shared" ca="1" si="3"/>
        <v>Reprovado</v>
      </c>
      <c r="H6" t="str">
        <f t="shared" ca="1" si="4"/>
        <v>Reprovado</v>
      </c>
      <c r="I6" s="2" t="s">
        <v>105</v>
      </c>
      <c r="J6" s="2">
        <f ca="1">VLOOKUP($J$2,$A$1:$H$101,5,0)</f>
        <v>3</v>
      </c>
    </row>
    <row r="7" spans="1:10" x14ac:dyDescent="0.25">
      <c r="A7" t="s">
        <v>6</v>
      </c>
      <c r="B7">
        <f t="shared" ca="1" si="0"/>
        <v>1</v>
      </c>
      <c r="C7">
        <f t="shared" ca="1" si="0"/>
        <v>5</v>
      </c>
      <c r="D7">
        <f t="shared" ca="1" si="0"/>
        <v>8</v>
      </c>
      <c r="E7">
        <f t="shared" ca="1" si="1"/>
        <v>4</v>
      </c>
      <c r="F7">
        <f t="shared" ca="1" si="2"/>
        <v>4.5</v>
      </c>
      <c r="G7" t="str">
        <f t="shared" ca="1" si="3"/>
        <v>Reprovado</v>
      </c>
      <c r="H7" t="str">
        <f t="shared" ca="1" si="4"/>
        <v>Reprovado</v>
      </c>
      <c r="I7" s="2" t="s">
        <v>104</v>
      </c>
      <c r="J7" s="2">
        <f ca="1">VLOOKUP($J$2,$A$1:$H$101,6,0)</f>
        <v>6</v>
      </c>
    </row>
    <row r="8" spans="1:10" x14ac:dyDescent="0.25">
      <c r="A8" t="s">
        <v>7</v>
      </c>
      <c r="B8">
        <f t="shared" ca="1" si="0"/>
        <v>0</v>
      </c>
      <c r="C8">
        <f t="shared" ca="1" si="0"/>
        <v>5</v>
      </c>
      <c r="D8">
        <f t="shared" ca="1" si="0"/>
        <v>3</v>
      </c>
      <c r="E8">
        <f t="shared" ca="1" si="1"/>
        <v>1</v>
      </c>
      <c r="F8">
        <f t="shared" ca="1" si="2"/>
        <v>2</v>
      </c>
      <c r="G8" t="str">
        <f t="shared" ca="1" si="3"/>
        <v>Reprovado</v>
      </c>
      <c r="H8" t="str">
        <f t="shared" ca="1" si="4"/>
        <v>Reprovado</v>
      </c>
      <c r="I8" s="2" t="s">
        <v>106</v>
      </c>
      <c r="J8" s="2" t="str">
        <f ca="1">VLOOKUP($J$2,$A$1:$H$101,7,0)</f>
        <v>Reprovado</v>
      </c>
    </row>
    <row r="9" spans="1:10" x14ac:dyDescent="0.25">
      <c r="A9" t="s">
        <v>8</v>
      </c>
      <c r="B9">
        <f t="shared" ca="1" si="0"/>
        <v>6</v>
      </c>
      <c r="C9">
        <f t="shared" ca="1" si="0"/>
        <v>7</v>
      </c>
      <c r="D9">
        <f t="shared" ca="1" si="0"/>
        <v>4</v>
      </c>
      <c r="E9">
        <f t="shared" ca="1" si="1"/>
        <v>2</v>
      </c>
      <c r="F9">
        <f t="shared" ca="1" si="2"/>
        <v>5</v>
      </c>
      <c r="G9" t="str">
        <f t="shared" ca="1" si="3"/>
        <v>Reprovado</v>
      </c>
      <c r="H9" t="str">
        <f t="shared" ca="1" si="4"/>
        <v>Reprovado</v>
      </c>
      <c r="I9" s="2" t="s">
        <v>107</v>
      </c>
      <c r="J9" s="2" t="str">
        <f ca="1">VLOOKUP($J$2,$A$1:$H$101,8,0)</f>
        <v>Reprovado</v>
      </c>
    </row>
    <row r="10" spans="1:10" x14ac:dyDescent="0.25">
      <c r="A10" t="s">
        <v>9</v>
      </c>
      <c r="B10">
        <f t="shared" ca="1" si="0"/>
        <v>1</v>
      </c>
      <c r="C10">
        <f t="shared" ca="1" si="0"/>
        <v>2</v>
      </c>
      <c r="D10">
        <f t="shared" ca="1" si="0"/>
        <v>5</v>
      </c>
      <c r="E10">
        <f t="shared" ca="1" si="1"/>
        <v>3</v>
      </c>
      <c r="F10">
        <f t="shared" ca="1" si="2"/>
        <v>2.5</v>
      </c>
      <c r="G10" t="str">
        <f t="shared" ca="1" si="3"/>
        <v>Reprovado</v>
      </c>
      <c r="H10" t="str">
        <f t="shared" ca="1" si="4"/>
        <v>Reprovado</v>
      </c>
    </row>
    <row r="11" spans="1:10" x14ac:dyDescent="0.25">
      <c r="A11" t="s">
        <v>10</v>
      </c>
      <c r="B11">
        <f t="shared" ca="1" si="0"/>
        <v>2</v>
      </c>
      <c r="C11">
        <f t="shared" ca="1" si="0"/>
        <v>8</v>
      </c>
      <c r="D11">
        <f t="shared" ca="1" si="0"/>
        <v>7</v>
      </c>
      <c r="E11">
        <f t="shared" ca="1" si="1"/>
        <v>4</v>
      </c>
      <c r="F11">
        <f t="shared" ca="1" si="2"/>
        <v>5.5</v>
      </c>
      <c r="G11" t="str">
        <f t="shared" ca="1" si="3"/>
        <v>Reprovado</v>
      </c>
      <c r="H11" t="str">
        <f t="shared" ca="1" si="4"/>
        <v>Reprovado</v>
      </c>
    </row>
    <row r="12" spans="1:10" x14ac:dyDescent="0.25">
      <c r="A12" t="s">
        <v>11</v>
      </c>
      <c r="B12">
        <f t="shared" ca="1" si="0"/>
        <v>5</v>
      </c>
      <c r="C12">
        <f t="shared" ca="1" si="0"/>
        <v>8</v>
      </c>
      <c r="D12">
        <f t="shared" ca="1" si="0"/>
        <v>2</v>
      </c>
      <c r="E12">
        <f t="shared" ca="1" si="1"/>
        <v>3</v>
      </c>
      <c r="F12">
        <f t="shared" ca="1" si="2"/>
        <v>4</v>
      </c>
      <c r="G12" t="str">
        <f t="shared" ca="1" si="3"/>
        <v>Reprovado</v>
      </c>
      <c r="H12" t="str">
        <f t="shared" ca="1" si="4"/>
        <v>Reprovado</v>
      </c>
    </row>
    <row r="13" spans="1:10" x14ac:dyDescent="0.25">
      <c r="A13" t="s">
        <v>12</v>
      </c>
      <c r="B13">
        <f t="shared" ca="1" si="0"/>
        <v>1</v>
      </c>
      <c r="C13">
        <f t="shared" ca="1" si="0"/>
        <v>8</v>
      </c>
      <c r="D13">
        <f t="shared" ca="1" si="0"/>
        <v>3</v>
      </c>
      <c r="E13">
        <f t="shared" ca="1" si="1"/>
        <v>4</v>
      </c>
      <c r="F13">
        <f t="shared" ca="1" si="2"/>
        <v>3.5</v>
      </c>
      <c r="G13" t="str">
        <f t="shared" ca="1" si="3"/>
        <v>Reprovado</v>
      </c>
      <c r="H13" t="str">
        <f t="shared" ca="1" si="4"/>
        <v>Reprovado</v>
      </c>
    </row>
    <row r="14" spans="1:10" x14ac:dyDescent="0.25">
      <c r="A14" t="s">
        <v>13</v>
      </c>
      <c r="B14">
        <f t="shared" ca="1" si="0"/>
        <v>6</v>
      </c>
      <c r="C14">
        <f t="shared" ca="1" si="0"/>
        <v>7</v>
      </c>
      <c r="D14">
        <f t="shared" ca="1" si="0"/>
        <v>6</v>
      </c>
      <c r="E14">
        <f t="shared" ca="1" si="1"/>
        <v>4</v>
      </c>
      <c r="F14">
        <f t="shared" ca="1" si="2"/>
        <v>6</v>
      </c>
      <c r="G14" t="str">
        <f t="shared" ca="1" si="3"/>
        <v>Reprovado</v>
      </c>
      <c r="H14" t="str">
        <f t="shared" ca="1" si="4"/>
        <v>Reprovado</v>
      </c>
      <c r="I14">
        <f ca="1">RANDBETWEEN(1,10)</f>
        <v>1</v>
      </c>
      <c r="J14" t="str">
        <f ca="1">IF(I14&gt;=6,"Bom","Ruim")</f>
        <v>Ruim</v>
      </c>
    </row>
    <row r="15" spans="1:10" x14ac:dyDescent="0.25">
      <c r="A15" t="s">
        <v>14</v>
      </c>
      <c r="B15">
        <f t="shared" ca="1" si="0"/>
        <v>1</v>
      </c>
      <c r="C15">
        <f t="shared" ca="1" si="0"/>
        <v>4</v>
      </c>
      <c r="D15">
        <f t="shared" ca="1" si="0"/>
        <v>9</v>
      </c>
      <c r="E15">
        <f t="shared" ca="1" si="1"/>
        <v>2</v>
      </c>
      <c r="F15">
        <f t="shared" ca="1" si="2"/>
        <v>3</v>
      </c>
      <c r="G15" t="str">
        <f t="shared" ca="1" si="3"/>
        <v>Reprovado</v>
      </c>
      <c r="H15" t="str">
        <f t="shared" ca="1" si="4"/>
        <v>Reprovado</v>
      </c>
      <c r="I15">
        <f t="shared" ref="I15:I16" ca="1" si="5">RANDBETWEEN(1,10)</f>
        <v>3</v>
      </c>
      <c r="J15" t="str">
        <f t="shared" ref="J15:J17" ca="1" si="6">IF(I15&gt;=6,"Bom","Ruim")</f>
        <v>Ruim</v>
      </c>
    </row>
    <row r="16" spans="1:10" x14ac:dyDescent="0.25">
      <c r="A16" t="s">
        <v>15</v>
      </c>
      <c r="B16">
        <f t="shared" ca="1" si="0"/>
        <v>0</v>
      </c>
      <c r="C16">
        <f t="shared" ca="1" si="0"/>
        <v>2</v>
      </c>
      <c r="D16">
        <f t="shared" ca="1" si="0"/>
        <v>1</v>
      </c>
      <c r="E16">
        <f t="shared" ca="1" si="1"/>
        <v>4</v>
      </c>
      <c r="F16">
        <f t="shared" ca="1" si="2"/>
        <v>1.5</v>
      </c>
      <c r="G16" t="str">
        <f t="shared" ca="1" si="3"/>
        <v>Reprovado</v>
      </c>
      <c r="H16" t="str">
        <f t="shared" ca="1" si="4"/>
        <v>Reprovado</v>
      </c>
      <c r="I16">
        <f t="shared" ca="1" si="5"/>
        <v>8</v>
      </c>
      <c r="J16" t="str">
        <f t="shared" ca="1" si="6"/>
        <v>Bom</v>
      </c>
    </row>
    <row r="17" spans="1:16" x14ac:dyDescent="0.25">
      <c r="A17" t="s">
        <v>16</v>
      </c>
      <c r="B17">
        <f t="shared" ca="1" si="0"/>
        <v>9</v>
      </c>
      <c r="C17">
        <f t="shared" ca="1" si="0"/>
        <v>10</v>
      </c>
      <c r="D17">
        <f t="shared" ca="1" si="0"/>
        <v>2</v>
      </c>
      <c r="E17">
        <f t="shared" ca="1" si="1"/>
        <v>1</v>
      </c>
      <c r="F17">
        <f t="shared" ca="1" si="2"/>
        <v>5.5</v>
      </c>
      <c r="G17" t="str">
        <f t="shared" ca="1" si="3"/>
        <v>Reprovado</v>
      </c>
      <c r="H17" t="str">
        <f t="shared" ca="1" si="4"/>
        <v>Reprovado</v>
      </c>
      <c r="I17">
        <v>5</v>
      </c>
      <c r="J17" t="str">
        <f t="shared" si="6"/>
        <v>Ruim</v>
      </c>
    </row>
    <row r="18" spans="1:16" x14ac:dyDescent="0.25">
      <c r="A18" t="s">
        <v>17</v>
      </c>
      <c r="B18">
        <f t="shared" ca="1" si="0"/>
        <v>3</v>
      </c>
      <c r="C18">
        <f t="shared" ca="1" si="0"/>
        <v>6</v>
      </c>
      <c r="D18">
        <f t="shared" ca="1" si="0"/>
        <v>6</v>
      </c>
      <c r="E18">
        <f t="shared" ca="1" si="1"/>
        <v>0</v>
      </c>
      <c r="F18">
        <f t="shared" ca="1" si="2"/>
        <v>4.5</v>
      </c>
      <c r="G18" t="str">
        <f t="shared" ca="1" si="3"/>
        <v>Reprovado</v>
      </c>
      <c r="H18" t="str">
        <f t="shared" ca="1" si="4"/>
        <v>Reprovado</v>
      </c>
    </row>
    <row r="19" spans="1:16" x14ac:dyDescent="0.25">
      <c r="A19" t="s">
        <v>18</v>
      </c>
      <c r="B19">
        <f t="shared" ca="1" si="0"/>
        <v>8</v>
      </c>
      <c r="C19">
        <f t="shared" ca="1" si="0"/>
        <v>6</v>
      </c>
      <c r="D19">
        <f t="shared" ca="1" si="0"/>
        <v>8</v>
      </c>
      <c r="E19">
        <f t="shared" ca="1" si="1"/>
        <v>4</v>
      </c>
      <c r="F19">
        <f t="shared" ca="1" si="2"/>
        <v>7</v>
      </c>
      <c r="G19" t="str">
        <f t="shared" ca="1" si="3"/>
        <v>Aprovado</v>
      </c>
      <c r="H19" t="str">
        <f t="shared" ca="1" si="4"/>
        <v>Reprovado</v>
      </c>
    </row>
    <row r="20" spans="1:16" x14ac:dyDescent="0.25">
      <c r="A20" t="s">
        <v>19</v>
      </c>
      <c r="B20">
        <f t="shared" ca="1" si="0"/>
        <v>8</v>
      </c>
      <c r="C20">
        <f t="shared" ca="1" si="0"/>
        <v>6</v>
      </c>
      <c r="D20">
        <f t="shared" ca="1" si="0"/>
        <v>2</v>
      </c>
      <c r="E20">
        <f t="shared" ca="1" si="1"/>
        <v>5</v>
      </c>
      <c r="F20">
        <f t="shared" ca="1" si="2"/>
        <v>5.5</v>
      </c>
      <c r="G20" t="str">
        <f t="shared" ca="1" si="3"/>
        <v>Reprovado</v>
      </c>
      <c r="H20" t="str">
        <f t="shared" ca="1" si="4"/>
        <v>Reprovado</v>
      </c>
    </row>
    <row r="21" spans="1:16" x14ac:dyDescent="0.25">
      <c r="A21" t="s">
        <v>20</v>
      </c>
      <c r="B21">
        <f t="shared" ca="1" si="0"/>
        <v>0</v>
      </c>
      <c r="C21">
        <f t="shared" ca="1" si="0"/>
        <v>5</v>
      </c>
      <c r="D21">
        <f t="shared" ca="1" si="0"/>
        <v>3</v>
      </c>
      <c r="E21">
        <f t="shared" ca="1" si="1"/>
        <v>3</v>
      </c>
      <c r="F21">
        <f t="shared" ca="1" si="2"/>
        <v>3</v>
      </c>
      <c r="G21" t="str">
        <f t="shared" ca="1" si="3"/>
        <v>Reprovado</v>
      </c>
      <c r="H21" t="str">
        <f t="shared" ca="1" si="4"/>
        <v>Reprovado</v>
      </c>
    </row>
    <row r="22" spans="1:16" x14ac:dyDescent="0.25">
      <c r="A22" t="s">
        <v>21</v>
      </c>
      <c r="B22">
        <f t="shared" ca="1" si="0"/>
        <v>10</v>
      </c>
      <c r="C22">
        <f t="shared" ca="1" si="0"/>
        <v>9</v>
      </c>
      <c r="D22">
        <f t="shared" ca="1" si="0"/>
        <v>4</v>
      </c>
      <c r="E22">
        <f t="shared" ca="1" si="1"/>
        <v>5</v>
      </c>
      <c r="F22">
        <f t="shared" ca="1" si="2"/>
        <v>7</v>
      </c>
      <c r="G22" t="str">
        <f t="shared" ca="1" si="3"/>
        <v>Aprovado</v>
      </c>
      <c r="H22" t="str">
        <f t="shared" ca="1" si="4"/>
        <v>Reprovado</v>
      </c>
    </row>
    <row r="23" spans="1:16" x14ac:dyDescent="0.25">
      <c r="A23" t="s">
        <v>22</v>
      </c>
      <c r="B23">
        <f t="shared" ca="1" si="0"/>
        <v>10</v>
      </c>
      <c r="C23">
        <f t="shared" ca="1" si="0"/>
        <v>1</v>
      </c>
      <c r="D23">
        <f t="shared" ca="1" si="0"/>
        <v>2</v>
      </c>
      <c r="E23">
        <f t="shared" ca="1" si="1"/>
        <v>4</v>
      </c>
      <c r="F23">
        <f t="shared" ca="1" si="2"/>
        <v>3</v>
      </c>
      <c r="G23" t="str">
        <f t="shared" ca="1" si="3"/>
        <v>Reprovado</v>
      </c>
      <c r="H23" t="str">
        <f t="shared" ca="1" si="4"/>
        <v>Reprovado</v>
      </c>
      <c r="I23" t="s">
        <v>1</v>
      </c>
      <c r="J23" t="e">
        <f>HLOOKUP($I$23,$B$1:$H$101,2,FALSE)</f>
        <v>#N/A</v>
      </c>
      <c r="K23" t="e">
        <f>HLOOKUP($I$23,$B$1:$H$101,3,FALSE)</f>
        <v>#N/A</v>
      </c>
      <c r="L23" t="e">
        <f>HLOOKUP($I$23,$B$1:$H$101,4,FALSE)</f>
        <v>#N/A</v>
      </c>
      <c r="M23" t="e">
        <f>HLOOKUP($I$23,$B$1:$H$101,5,FALSE)</f>
        <v>#N/A</v>
      </c>
      <c r="N23" t="e">
        <f>HLOOKUP($I$23,$B$1:$H$101,6,FALSE)</f>
        <v>#N/A</v>
      </c>
      <c r="O23" t="e">
        <f>HLOOKUP($I$23,$B$1:$H$101,7,FALSE)</f>
        <v>#N/A</v>
      </c>
      <c r="P23" t="e">
        <f>HLOOKUP($I$23,$B$1:$H$101,8,FALSE)</f>
        <v>#N/A</v>
      </c>
    </row>
    <row r="24" spans="1:16" x14ac:dyDescent="0.25">
      <c r="A24" t="s">
        <v>23</v>
      </c>
      <c r="B24">
        <f t="shared" ca="1" si="0"/>
        <v>2</v>
      </c>
      <c r="C24">
        <f t="shared" ca="1" si="0"/>
        <v>5</v>
      </c>
      <c r="D24">
        <f t="shared" ca="1" si="0"/>
        <v>1</v>
      </c>
      <c r="E24">
        <f t="shared" ca="1" si="1"/>
        <v>2</v>
      </c>
      <c r="F24">
        <f t="shared" ca="1" si="2"/>
        <v>2</v>
      </c>
      <c r="G24" t="str">
        <f t="shared" ca="1" si="3"/>
        <v>Reprovado</v>
      </c>
      <c r="H24" t="str">
        <f t="shared" ca="1" si="4"/>
        <v>Reprovado</v>
      </c>
      <c r="I24" s="2" t="s">
        <v>0</v>
      </c>
      <c r="J24" s="2" t="s">
        <v>101</v>
      </c>
      <c r="K24" s="2" t="s">
        <v>102</v>
      </c>
      <c r="L24" s="2" t="s">
        <v>103</v>
      </c>
      <c r="M24" s="2" t="s">
        <v>105</v>
      </c>
      <c r="N24" s="2" t="s">
        <v>104</v>
      </c>
      <c r="O24" s="2" t="s">
        <v>106</v>
      </c>
      <c r="P24" s="2" t="s">
        <v>107</v>
      </c>
    </row>
    <row r="25" spans="1:16" x14ac:dyDescent="0.25">
      <c r="A25" t="s">
        <v>24</v>
      </c>
      <c r="B25">
        <f t="shared" ca="1" si="0"/>
        <v>3</v>
      </c>
      <c r="C25">
        <f t="shared" ca="1" si="0"/>
        <v>0</v>
      </c>
      <c r="D25">
        <f t="shared" ca="1" si="0"/>
        <v>5</v>
      </c>
      <c r="E25">
        <f t="shared" ca="1" si="1"/>
        <v>0</v>
      </c>
      <c r="F25">
        <f t="shared" ca="1" si="2"/>
        <v>1.5</v>
      </c>
      <c r="G25" t="str">
        <f t="shared" ca="1" si="3"/>
        <v>Reprovado</v>
      </c>
      <c r="H25" t="str">
        <f t="shared" ca="1" si="4"/>
        <v>Reprovado</v>
      </c>
    </row>
    <row r="26" spans="1:16" x14ac:dyDescent="0.25">
      <c r="A26" t="s">
        <v>25</v>
      </c>
      <c r="B26">
        <f t="shared" ca="1" si="0"/>
        <v>2</v>
      </c>
      <c r="C26">
        <f t="shared" ca="1" si="0"/>
        <v>2</v>
      </c>
      <c r="D26">
        <f t="shared" ca="1" si="0"/>
        <v>0</v>
      </c>
      <c r="E26">
        <f t="shared" ca="1" si="1"/>
        <v>0</v>
      </c>
      <c r="F26">
        <f t="shared" ca="1" si="2"/>
        <v>1</v>
      </c>
      <c r="G26" t="str">
        <f t="shared" ca="1" si="3"/>
        <v>Reprovado</v>
      </c>
      <c r="H26" t="str">
        <f t="shared" ca="1" si="4"/>
        <v>Reprovado</v>
      </c>
    </row>
    <row r="27" spans="1:16" x14ac:dyDescent="0.25">
      <c r="A27" t="s">
        <v>26</v>
      </c>
      <c r="B27">
        <f t="shared" ca="1" si="0"/>
        <v>5</v>
      </c>
      <c r="C27">
        <f t="shared" ca="1" si="0"/>
        <v>9</v>
      </c>
      <c r="D27">
        <f t="shared" ca="1" si="0"/>
        <v>5</v>
      </c>
      <c r="E27">
        <f t="shared" ca="1" si="1"/>
        <v>1</v>
      </c>
      <c r="F27">
        <f t="shared" ca="1" si="2"/>
        <v>5</v>
      </c>
      <c r="G27" t="str">
        <f t="shared" ca="1" si="3"/>
        <v>Reprovado</v>
      </c>
      <c r="H27" t="str">
        <f t="shared" ca="1" si="4"/>
        <v>Reprovado</v>
      </c>
    </row>
    <row r="28" spans="1:16" x14ac:dyDescent="0.25">
      <c r="A28" t="s">
        <v>27</v>
      </c>
      <c r="B28">
        <f t="shared" ca="1" si="0"/>
        <v>7</v>
      </c>
      <c r="C28">
        <f t="shared" ca="1" si="0"/>
        <v>6</v>
      </c>
      <c r="D28">
        <f t="shared" ca="1" si="0"/>
        <v>9</v>
      </c>
      <c r="E28">
        <f t="shared" ca="1" si="1"/>
        <v>5</v>
      </c>
      <c r="F28">
        <f t="shared" ca="1" si="2"/>
        <v>6.5</v>
      </c>
      <c r="G28" t="str">
        <f t="shared" ca="1" si="3"/>
        <v>Aprovado</v>
      </c>
      <c r="H28" t="str">
        <f t="shared" ca="1" si="4"/>
        <v>Reprovado</v>
      </c>
    </row>
    <row r="29" spans="1:16" x14ac:dyDescent="0.25">
      <c r="A29" t="s">
        <v>28</v>
      </c>
      <c r="B29">
        <f t="shared" ca="1" si="0"/>
        <v>0</v>
      </c>
      <c r="C29">
        <f t="shared" ca="1" si="0"/>
        <v>5</v>
      </c>
      <c r="D29">
        <f t="shared" ca="1" si="0"/>
        <v>3</v>
      </c>
      <c r="E29">
        <f t="shared" ca="1" si="1"/>
        <v>4</v>
      </c>
      <c r="F29">
        <f t="shared" ca="1" si="2"/>
        <v>3.5</v>
      </c>
      <c r="G29" t="str">
        <f t="shared" ca="1" si="3"/>
        <v>Reprovado</v>
      </c>
      <c r="H29" t="str">
        <f t="shared" ca="1" si="4"/>
        <v>Reprovado</v>
      </c>
    </row>
    <row r="30" spans="1:16" x14ac:dyDescent="0.25">
      <c r="A30" t="s">
        <v>29</v>
      </c>
      <c r="B30">
        <f t="shared" ca="1" si="0"/>
        <v>9</v>
      </c>
      <c r="C30">
        <f t="shared" ca="1" si="0"/>
        <v>8</v>
      </c>
      <c r="D30">
        <f t="shared" ca="1" si="0"/>
        <v>6</v>
      </c>
      <c r="E30">
        <f t="shared" ca="1" si="1"/>
        <v>4</v>
      </c>
      <c r="F30">
        <f t="shared" ca="1" si="2"/>
        <v>7</v>
      </c>
      <c r="G30" t="str">
        <f t="shared" ca="1" si="3"/>
        <v>Aprovado</v>
      </c>
      <c r="H30" t="str">
        <f t="shared" ca="1" si="4"/>
        <v>Reprovado</v>
      </c>
    </row>
    <row r="31" spans="1:16" x14ac:dyDescent="0.25">
      <c r="A31" t="s">
        <v>30</v>
      </c>
      <c r="B31">
        <f t="shared" ca="1" si="0"/>
        <v>8</v>
      </c>
      <c r="C31">
        <f t="shared" ca="1" si="0"/>
        <v>3</v>
      </c>
      <c r="D31">
        <f t="shared" ca="1" si="0"/>
        <v>5</v>
      </c>
      <c r="E31">
        <f t="shared" ca="1" si="1"/>
        <v>2</v>
      </c>
      <c r="F31">
        <f t="shared" ca="1" si="2"/>
        <v>4</v>
      </c>
      <c r="G31" t="str">
        <f t="shared" ca="1" si="3"/>
        <v>Reprovado</v>
      </c>
      <c r="H31" t="str">
        <f t="shared" ca="1" si="4"/>
        <v>Reprovado</v>
      </c>
    </row>
    <row r="32" spans="1:16" x14ac:dyDescent="0.25">
      <c r="A32" t="s">
        <v>31</v>
      </c>
      <c r="B32">
        <f t="shared" ca="1" si="0"/>
        <v>10</v>
      </c>
      <c r="C32">
        <f t="shared" ca="1" si="0"/>
        <v>0</v>
      </c>
      <c r="D32">
        <f t="shared" ca="1" si="0"/>
        <v>10</v>
      </c>
      <c r="E32">
        <f t="shared" ca="1" si="1"/>
        <v>5</v>
      </c>
      <c r="F32">
        <f t="shared" ca="1" si="2"/>
        <v>7.5</v>
      </c>
      <c r="G32" t="str">
        <f t="shared" ca="1" si="3"/>
        <v>Aprovado</v>
      </c>
      <c r="H32" t="str">
        <f t="shared" ca="1" si="4"/>
        <v>Reprovado</v>
      </c>
    </row>
    <row r="33" spans="1:8" x14ac:dyDescent="0.25">
      <c r="A33" t="s">
        <v>32</v>
      </c>
      <c r="B33">
        <f t="shared" ca="1" si="0"/>
        <v>0</v>
      </c>
      <c r="C33">
        <f t="shared" ca="1" si="0"/>
        <v>9</v>
      </c>
      <c r="D33">
        <f t="shared" ca="1" si="0"/>
        <v>5</v>
      </c>
      <c r="E33">
        <f t="shared" ca="1" si="1"/>
        <v>1</v>
      </c>
      <c r="F33">
        <f t="shared" ca="1" si="2"/>
        <v>3</v>
      </c>
      <c r="G33" t="str">
        <f t="shared" ca="1" si="3"/>
        <v>Reprovado</v>
      </c>
      <c r="H33" t="str">
        <f t="shared" ca="1" si="4"/>
        <v>Reprovado</v>
      </c>
    </row>
    <row r="34" spans="1:8" x14ac:dyDescent="0.25">
      <c r="A34" t="s">
        <v>33</v>
      </c>
      <c r="B34">
        <f t="shared" ca="1" si="0"/>
        <v>2</v>
      </c>
      <c r="C34">
        <f t="shared" ca="1" si="0"/>
        <v>9</v>
      </c>
      <c r="D34">
        <f t="shared" ca="1" si="0"/>
        <v>5</v>
      </c>
      <c r="E34">
        <f t="shared" ca="1" si="1"/>
        <v>5</v>
      </c>
      <c r="F34">
        <f t="shared" ca="1" si="2"/>
        <v>5</v>
      </c>
      <c r="G34" t="str">
        <f t="shared" ca="1" si="3"/>
        <v>Reprovado</v>
      </c>
      <c r="H34" t="str">
        <f t="shared" ca="1" si="4"/>
        <v>Reprovado</v>
      </c>
    </row>
    <row r="35" spans="1:8" x14ac:dyDescent="0.25">
      <c r="A35" t="s">
        <v>34</v>
      </c>
      <c r="B35">
        <f t="shared" ca="1" si="0"/>
        <v>6</v>
      </c>
      <c r="C35">
        <f t="shared" ca="1" si="0"/>
        <v>2</v>
      </c>
      <c r="D35">
        <f t="shared" ca="1" si="0"/>
        <v>10</v>
      </c>
      <c r="E35">
        <f t="shared" ca="1" si="1"/>
        <v>0</v>
      </c>
      <c r="F35">
        <f t="shared" ca="1" si="2"/>
        <v>4</v>
      </c>
      <c r="G35" t="str">
        <f t="shared" ca="1" si="3"/>
        <v>Reprovado</v>
      </c>
      <c r="H35" t="str">
        <f t="shared" ca="1" si="4"/>
        <v>Reprovado</v>
      </c>
    </row>
    <row r="36" spans="1:8" x14ac:dyDescent="0.25">
      <c r="A36" t="s">
        <v>35</v>
      </c>
      <c r="B36">
        <f t="shared" ca="1" si="0"/>
        <v>7</v>
      </c>
      <c r="C36">
        <f t="shared" ca="1" si="0"/>
        <v>6</v>
      </c>
      <c r="D36">
        <f t="shared" ca="1" si="0"/>
        <v>7</v>
      </c>
      <c r="E36">
        <f t="shared" ca="1" si="1"/>
        <v>2</v>
      </c>
      <c r="F36">
        <f t="shared" ca="1" si="2"/>
        <v>6.5</v>
      </c>
      <c r="G36" t="str">
        <f t="shared" ca="1" si="3"/>
        <v>Aprovado</v>
      </c>
      <c r="H36" t="str">
        <f t="shared" ca="1" si="4"/>
        <v>Aprovado</v>
      </c>
    </row>
    <row r="37" spans="1:8" x14ac:dyDescent="0.25">
      <c r="A37" t="s">
        <v>36</v>
      </c>
      <c r="B37">
        <f t="shared" ca="1" si="0"/>
        <v>3</v>
      </c>
      <c r="C37">
        <f t="shared" ca="1" si="0"/>
        <v>8</v>
      </c>
      <c r="D37">
        <f t="shared" ca="1" si="0"/>
        <v>3</v>
      </c>
      <c r="E37">
        <f t="shared" ca="1" si="1"/>
        <v>2</v>
      </c>
      <c r="F37">
        <f t="shared" ca="1" si="2"/>
        <v>3</v>
      </c>
      <c r="G37" t="str">
        <f t="shared" ca="1" si="3"/>
        <v>Reprovado</v>
      </c>
      <c r="H37" t="str">
        <f t="shared" ca="1" si="4"/>
        <v>Reprovado</v>
      </c>
    </row>
    <row r="38" spans="1:8" x14ac:dyDescent="0.25">
      <c r="A38" t="s">
        <v>37</v>
      </c>
      <c r="B38">
        <f t="shared" ca="1" si="0"/>
        <v>5</v>
      </c>
      <c r="C38">
        <f t="shared" ca="1" si="0"/>
        <v>10</v>
      </c>
      <c r="D38">
        <f t="shared" ca="1" si="0"/>
        <v>2</v>
      </c>
      <c r="E38">
        <f t="shared" ca="1" si="1"/>
        <v>0</v>
      </c>
      <c r="F38">
        <f t="shared" ca="1" si="2"/>
        <v>3.5</v>
      </c>
      <c r="G38" t="str">
        <f t="shared" ca="1" si="3"/>
        <v>Reprovado</v>
      </c>
      <c r="H38" t="str">
        <f t="shared" ca="1" si="4"/>
        <v>Reprovado</v>
      </c>
    </row>
    <row r="39" spans="1:8" x14ac:dyDescent="0.25">
      <c r="A39" t="s">
        <v>38</v>
      </c>
      <c r="B39">
        <f t="shared" ca="1" si="0"/>
        <v>5</v>
      </c>
      <c r="C39">
        <f t="shared" ca="1" si="0"/>
        <v>0</v>
      </c>
      <c r="D39">
        <f t="shared" ca="1" si="0"/>
        <v>3</v>
      </c>
      <c r="E39">
        <f t="shared" ca="1" si="1"/>
        <v>3</v>
      </c>
      <c r="F39">
        <f t="shared" ca="1" si="2"/>
        <v>3</v>
      </c>
      <c r="G39" t="str">
        <f t="shared" ca="1" si="3"/>
        <v>Reprovado</v>
      </c>
      <c r="H39" t="str">
        <f t="shared" ca="1" si="4"/>
        <v>Reprovado</v>
      </c>
    </row>
    <row r="40" spans="1:8" x14ac:dyDescent="0.25">
      <c r="A40" t="s">
        <v>39</v>
      </c>
      <c r="B40">
        <f t="shared" ca="1" si="0"/>
        <v>8</v>
      </c>
      <c r="C40">
        <f t="shared" ca="1" si="0"/>
        <v>7</v>
      </c>
      <c r="D40">
        <f t="shared" ca="1" si="0"/>
        <v>4</v>
      </c>
      <c r="E40">
        <f t="shared" ca="1" si="1"/>
        <v>0</v>
      </c>
      <c r="F40">
        <f t="shared" ca="1" si="2"/>
        <v>5.5</v>
      </c>
      <c r="G40" t="str">
        <f t="shared" ca="1" si="3"/>
        <v>Reprovado</v>
      </c>
      <c r="H40" t="str">
        <f t="shared" ca="1" si="4"/>
        <v>Reprovado</v>
      </c>
    </row>
    <row r="41" spans="1:8" x14ac:dyDescent="0.25">
      <c r="A41" t="s">
        <v>40</v>
      </c>
      <c r="B41">
        <f t="shared" ca="1" si="0"/>
        <v>9</v>
      </c>
      <c r="C41">
        <f t="shared" ca="1" si="0"/>
        <v>3</v>
      </c>
      <c r="D41">
        <f t="shared" ca="1" si="0"/>
        <v>3</v>
      </c>
      <c r="E41">
        <f t="shared" ca="1" si="1"/>
        <v>5</v>
      </c>
      <c r="F41">
        <f t="shared" ca="1" si="2"/>
        <v>4</v>
      </c>
      <c r="G41" t="str">
        <f t="shared" ca="1" si="3"/>
        <v>Reprovado</v>
      </c>
      <c r="H41" t="str">
        <f t="shared" ca="1" si="4"/>
        <v>Reprovado</v>
      </c>
    </row>
    <row r="42" spans="1:8" x14ac:dyDescent="0.25">
      <c r="A42" t="s">
        <v>41</v>
      </c>
      <c r="B42">
        <f t="shared" ca="1" si="0"/>
        <v>6</v>
      </c>
      <c r="C42">
        <f t="shared" ca="1" si="0"/>
        <v>4</v>
      </c>
      <c r="D42">
        <f t="shared" ca="1" si="0"/>
        <v>3</v>
      </c>
      <c r="E42">
        <f t="shared" ca="1" si="1"/>
        <v>3</v>
      </c>
      <c r="F42">
        <f t="shared" ca="1" si="2"/>
        <v>3.5</v>
      </c>
      <c r="G42" t="str">
        <f t="shared" ca="1" si="3"/>
        <v>Reprovado</v>
      </c>
      <c r="H42" t="str">
        <f t="shared" ca="1" si="4"/>
        <v>Reprovado</v>
      </c>
    </row>
    <row r="43" spans="1:8" x14ac:dyDescent="0.25">
      <c r="A43" t="s">
        <v>42</v>
      </c>
      <c r="B43">
        <f t="shared" ca="1" si="0"/>
        <v>10</v>
      </c>
      <c r="C43">
        <f t="shared" ca="1" si="0"/>
        <v>1</v>
      </c>
      <c r="D43">
        <f t="shared" ca="1" si="0"/>
        <v>7</v>
      </c>
      <c r="E43">
        <f t="shared" ca="1" si="1"/>
        <v>0</v>
      </c>
      <c r="F43">
        <f t="shared" ca="1" si="2"/>
        <v>4</v>
      </c>
      <c r="G43" t="str">
        <f t="shared" ca="1" si="3"/>
        <v>Reprovado</v>
      </c>
      <c r="H43" t="str">
        <f t="shared" ca="1" si="4"/>
        <v>Reprovado</v>
      </c>
    </row>
    <row r="44" spans="1:8" x14ac:dyDescent="0.25">
      <c r="A44" t="s">
        <v>43</v>
      </c>
      <c r="B44">
        <f t="shared" ca="1" si="0"/>
        <v>1</v>
      </c>
      <c r="C44">
        <f t="shared" ca="1" si="0"/>
        <v>10</v>
      </c>
      <c r="D44">
        <f t="shared" ca="1" si="0"/>
        <v>1</v>
      </c>
      <c r="E44">
        <f t="shared" ca="1" si="1"/>
        <v>0</v>
      </c>
      <c r="F44">
        <f t="shared" ca="1" si="2"/>
        <v>1</v>
      </c>
      <c r="G44" t="str">
        <f t="shared" ca="1" si="3"/>
        <v>Reprovado</v>
      </c>
      <c r="H44" t="str">
        <f t="shared" ca="1" si="4"/>
        <v>Reprovado</v>
      </c>
    </row>
    <row r="45" spans="1:8" x14ac:dyDescent="0.25">
      <c r="A45" t="s">
        <v>44</v>
      </c>
      <c r="B45">
        <f t="shared" ca="1" si="0"/>
        <v>4</v>
      </c>
      <c r="C45">
        <f t="shared" ca="1" si="0"/>
        <v>7</v>
      </c>
      <c r="D45">
        <f t="shared" ca="1" si="0"/>
        <v>3</v>
      </c>
      <c r="E45">
        <f t="shared" ca="1" si="1"/>
        <v>5</v>
      </c>
      <c r="F45">
        <f t="shared" ca="1" si="2"/>
        <v>4.5</v>
      </c>
      <c r="G45" t="str">
        <f t="shared" ca="1" si="3"/>
        <v>Reprovado</v>
      </c>
      <c r="H45" t="str">
        <f t="shared" ca="1" si="4"/>
        <v>Reprovado</v>
      </c>
    </row>
    <row r="46" spans="1:8" x14ac:dyDescent="0.25">
      <c r="A46" t="s">
        <v>45</v>
      </c>
      <c r="B46">
        <f t="shared" ca="1" si="0"/>
        <v>1</v>
      </c>
      <c r="C46">
        <f t="shared" ca="1" si="0"/>
        <v>3</v>
      </c>
      <c r="D46">
        <f t="shared" ca="1" si="0"/>
        <v>6</v>
      </c>
      <c r="E46">
        <f t="shared" ca="1" si="1"/>
        <v>3</v>
      </c>
      <c r="F46">
        <f t="shared" ca="1" si="2"/>
        <v>3</v>
      </c>
      <c r="G46" t="str">
        <f t="shared" ca="1" si="3"/>
        <v>Reprovado</v>
      </c>
      <c r="H46" t="str">
        <f t="shared" ca="1" si="4"/>
        <v>Reprovado</v>
      </c>
    </row>
    <row r="47" spans="1:8" x14ac:dyDescent="0.25">
      <c r="A47" t="s">
        <v>46</v>
      </c>
      <c r="B47">
        <f t="shared" ca="1" si="0"/>
        <v>10</v>
      </c>
      <c r="C47">
        <f t="shared" ca="1" si="0"/>
        <v>3</v>
      </c>
      <c r="D47">
        <f t="shared" ca="1" si="0"/>
        <v>7</v>
      </c>
      <c r="E47">
        <f t="shared" ca="1" si="1"/>
        <v>4</v>
      </c>
      <c r="F47">
        <f t="shared" ca="1" si="2"/>
        <v>5.5</v>
      </c>
      <c r="G47" t="str">
        <f t="shared" ca="1" si="3"/>
        <v>Reprovado</v>
      </c>
      <c r="H47" t="str">
        <f t="shared" ca="1" si="4"/>
        <v>Reprovado</v>
      </c>
    </row>
    <row r="48" spans="1:8" x14ac:dyDescent="0.25">
      <c r="A48" t="s">
        <v>47</v>
      </c>
      <c r="B48">
        <f t="shared" ca="1" si="0"/>
        <v>9</v>
      </c>
      <c r="C48">
        <f t="shared" ca="1" si="0"/>
        <v>2</v>
      </c>
      <c r="D48">
        <f t="shared" ca="1" si="0"/>
        <v>0</v>
      </c>
      <c r="E48">
        <f t="shared" ca="1" si="1"/>
        <v>1</v>
      </c>
      <c r="F48">
        <f t="shared" ca="1" si="2"/>
        <v>1.5</v>
      </c>
      <c r="G48" t="str">
        <f t="shared" ca="1" si="3"/>
        <v>Reprovado</v>
      </c>
      <c r="H48" t="str">
        <f t="shared" ca="1" si="4"/>
        <v>Reprovado</v>
      </c>
    </row>
    <row r="49" spans="1:8" x14ac:dyDescent="0.25">
      <c r="A49" t="s">
        <v>48</v>
      </c>
      <c r="B49">
        <f t="shared" ca="1" si="0"/>
        <v>2</v>
      </c>
      <c r="C49">
        <f t="shared" ca="1" si="0"/>
        <v>7</v>
      </c>
      <c r="D49">
        <f t="shared" ca="1" si="0"/>
        <v>3</v>
      </c>
      <c r="E49">
        <f t="shared" ca="1" si="1"/>
        <v>0</v>
      </c>
      <c r="F49">
        <f t="shared" ca="1" si="2"/>
        <v>2.5</v>
      </c>
      <c r="G49" t="str">
        <f t="shared" ca="1" si="3"/>
        <v>Reprovado</v>
      </c>
      <c r="H49" t="str">
        <f t="shared" ca="1" si="4"/>
        <v>Reprovado</v>
      </c>
    </row>
    <row r="50" spans="1:8" x14ac:dyDescent="0.25">
      <c r="A50" t="s">
        <v>49</v>
      </c>
      <c r="B50">
        <f t="shared" ca="1" si="0"/>
        <v>2</v>
      </c>
      <c r="C50">
        <f t="shared" ca="1" si="0"/>
        <v>0</v>
      </c>
      <c r="D50">
        <f t="shared" ca="1" si="0"/>
        <v>8</v>
      </c>
      <c r="E50">
        <f t="shared" ca="1" si="1"/>
        <v>4</v>
      </c>
      <c r="F50">
        <f t="shared" ca="1" si="2"/>
        <v>3</v>
      </c>
      <c r="G50" t="str">
        <f t="shared" ca="1" si="3"/>
        <v>Reprovado</v>
      </c>
      <c r="H50" t="str">
        <f t="shared" ca="1" si="4"/>
        <v>Reprovado</v>
      </c>
    </row>
    <row r="51" spans="1:8" x14ac:dyDescent="0.25">
      <c r="A51" t="s">
        <v>50</v>
      </c>
      <c r="B51">
        <f t="shared" ca="1" si="0"/>
        <v>6</v>
      </c>
      <c r="C51">
        <f t="shared" ca="1" si="0"/>
        <v>4</v>
      </c>
      <c r="D51">
        <f t="shared" ca="1" si="0"/>
        <v>7</v>
      </c>
      <c r="E51">
        <f t="shared" ca="1" si="1"/>
        <v>4</v>
      </c>
      <c r="F51">
        <f t="shared" ca="1" si="2"/>
        <v>5</v>
      </c>
      <c r="G51" t="str">
        <f t="shared" ca="1" si="3"/>
        <v>Reprovado</v>
      </c>
      <c r="H51" t="str">
        <f t="shared" ca="1" si="4"/>
        <v>Reprovado</v>
      </c>
    </row>
    <row r="52" spans="1:8" x14ac:dyDescent="0.25">
      <c r="A52" t="s">
        <v>51</v>
      </c>
      <c r="B52">
        <f t="shared" ca="1" si="0"/>
        <v>7</v>
      </c>
      <c r="C52">
        <f t="shared" ca="1" si="0"/>
        <v>3</v>
      </c>
      <c r="D52">
        <f t="shared" ca="1" si="0"/>
        <v>3</v>
      </c>
      <c r="E52">
        <f t="shared" ca="1" si="1"/>
        <v>3</v>
      </c>
      <c r="F52">
        <f t="shared" ca="1" si="2"/>
        <v>3</v>
      </c>
      <c r="G52" t="str">
        <f t="shared" ca="1" si="3"/>
        <v>Reprovado</v>
      </c>
      <c r="H52" t="str">
        <f t="shared" ca="1" si="4"/>
        <v>Reprovado</v>
      </c>
    </row>
    <row r="53" spans="1:8" x14ac:dyDescent="0.25">
      <c r="A53" t="s">
        <v>52</v>
      </c>
      <c r="B53">
        <f t="shared" ca="1" si="0"/>
        <v>10</v>
      </c>
      <c r="C53">
        <f t="shared" ca="1" si="0"/>
        <v>7</v>
      </c>
      <c r="D53">
        <f t="shared" ca="1" si="0"/>
        <v>10</v>
      </c>
      <c r="E53">
        <f t="shared" ca="1" si="1"/>
        <v>4</v>
      </c>
      <c r="F53">
        <f t="shared" ca="1" si="2"/>
        <v>8.5</v>
      </c>
      <c r="G53" t="str">
        <f t="shared" ca="1" si="3"/>
        <v>Aprovado</v>
      </c>
      <c r="H53" t="str">
        <f t="shared" ca="1" si="4"/>
        <v>Reprovado</v>
      </c>
    </row>
    <row r="54" spans="1:8" x14ac:dyDescent="0.25">
      <c r="A54" t="s">
        <v>53</v>
      </c>
      <c r="B54">
        <f t="shared" ca="1" si="0"/>
        <v>7</v>
      </c>
      <c r="C54">
        <f t="shared" ca="1" si="0"/>
        <v>2</v>
      </c>
      <c r="D54">
        <f t="shared" ca="1" si="0"/>
        <v>8</v>
      </c>
      <c r="E54">
        <f t="shared" ca="1" si="1"/>
        <v>1</v>
      </c>
      <c r="F54">
        <f t="shared" ca="1" si="2"/>
        <v>4.5</v>
      </c>
      <c r="G54" t="str">
        <f t="shared" ca="1" si="3"/>
        <v>Reprovado</v>
      </c>
      <c r="H54" t="str">
        <f t="shared" ca="1" si="4"/>
        <v>Reprovado</v>
      </c>
    </row>
    <row r="55" spans="1:8" x14ac:dyDescent="0.25">
      <c r="A55" t="s">
        <v>54</v>
      </c>
      <c r="B55">
        <f t="shared" ca="1" si="0"/>
        <v>10</v>
      </c>
      <c r="C55">
        <f t="shared" ca="1" si="0"/>
        <v>6</v>
      </c>
      <c r="D55">
        <f t="shared" ca="1" si="0"/>
        <v>3</v>
      </c>
      <c r="E55">
        <f t="shared" ca="1" si="1"/>
        <v>2</v>
      </c>
      <c r="F55">
        <f t="shared" ca="1" si="2"/>
        <v>4.5</v>
      </c>
      <c r="G55" t="str">
        <f t="shared" ca="1" si="3"/>
        <v>Reprovado</v>
      </c>
      <c r="H55" t="str">
        <f t="shared" ca="1" si="4"/>
        <v>Reprovado</v>
      </c>
    </row>
    <row r="56" spans="1:8" x14ac:dyDescent="0.25">
      <c r="A56" t="s">
        <v>55</v>
      </c>
      <c r="B56">
        <f t="shared" ca="1" si="0"/>
        <v>8</v>
      </c>
      <c r="C56">
        <f t="shared" ca="1" si="0"/>
        <v>0</v>
      </c>
      <c r="D56">
        <f t="shared" ca="1" si="0"/>
        <v>3</v>
      </c>
      <c r="E56">
        <f t="shared" ca="1" si="1"/>
        <v>0</v>
      </c>
      <c r="F56">
        <f t="shared" ca="1" si="2"/>
        <v>1.5</v>
      </c>
      <c r="G56" t="str">
        <f t="shared" ca="1" si="3"/>
        <v>Reprovado</v>
      </c>
      <c r="H56" t="str">
        <f t="shared" ca="1" si="4"/>
        <v>Reprovado</v>
      </c>
    </row>
    <row r="57" spans="1:8" x14ac:dyDescent="0.25">
      <c r="A57" t="s">
        <v>56</v>
      </c>
      <c r="B57">
        <f t="shared" ca="1" si="0"/>
        <v>8</v>
      </c>
      <c r="C57">
        <f t="shared" ca="1" si="0"/>
        <v>1</v>
      </c>
      <c r="D57">
        <f t="shared" ca="1" si="0"/>
        <v>3</v>
      </c>
      <c r="E57">
        <f t="shared" ca="1" si="1"/>
        <v>2</v>
      </c>
      <c r="F57">
        <f t="shared" ca="1" si="2"/>
        <v>2.5</v>
      </c>
      <c r="G57" t="str">
        <f t="shared" ca="1" si="3"/>
        <v>Reprovado</v>
      </c>
      <c r="H57" t="str">
        <f t="shared" ca="1" si="4"/>
        <v>Reprovado</v>
      </c>
    </row>
    <row r="58" spans="1:8" x14ac:dyDescent="0.25">
      <c r="A58" t="s">
        <v>57</v>
      </c>
      <c r="B58">
        <f t="shared" ca="1" si="0"/>
        <v>7</v>
      </c>
      <c r="C58">
        <f t="shared" ca="1" si="0"/>
        <v>8</v>
      </c>
      <c r="D58">
        <f t="shared" ca="1" si="0"/>
        <v>2</v>
      </c>
      <c r="E58">
        <f t="shared" ca="1" si="1"/>
        <v>5</v>
      </c>
      <c r="F58">
        <f t="shared" ca="1" si="2"/>
        <v>6</v>
      </c>
      <c r="G58" t="str">
        <f t="shared" ca="1" si="3"/>
        <v>Reprovado</v>
      </c>
      <c r="H58" t="str">
        <f t="shared" ca="1" si="4"/>
        <v>Reprovado</v>
      </c>
    </row>
    <row r="59" spans="1:8" x14ac:dyDescent="0.25">
      <c r="A59" t="s">
        <v>58</v>
      </c>
      <c r="B59">
        <f t="shared" ca="1" si="0"/>
        <v>7</v>
      </c>
      <c r="C59">
        <f t="shared" ca="1" si="0"/>
        <v>9</v>
      </c>
      <c r="D59">
        <f t="shared" ca="1" si="0"/>
        <v>4</v>
      </c>
      <c r="E59">
        <f t="shared" ca="1" si="1"/>
        <v>1</v>
      </c>
      <c r="F59">
        <f t="shared" ca="1" si="2"/>
        <v>5.5</v>
      </c>
      <c r="G59" t="str">
        <f t="shared" ca="1" si="3"/>
        <v>Reprovado</v>
      </c>
      <c r="H59" t="str">
        <f t="shared" ca="1" si="4"/>
        <v>Reprovado</v>
      </c>
    </row>
    <row r="60" spans="1:8" x14ac:dyDescent="0.25">
      <c r="A60" t="s">
        <v>59</v>
      </c>
      <c r="B60">
        <f t="shared" ca="1" si="0"/>
        <v>4</v>
      </c>
      <c r="C60">
        <f t="shared" ca="1" si="0"/>
        <v>7</v>
      </c>
      <c r="D60">
        <f t="shared" ca="1" si="0"/>
        <v>8</v>
      </c>
      <c r="E60">
        <f t="shared" ca="1" si="1"/>
        <v>4</v>
      </c>
      <c r="F60">
        <f t="shared" ca="1" si="2"/>
        <v>5.5</v>
      </c>
      <c r="G60" t="str">
        <f t="shared" ca="1" si="3"/>
        <v>Reprovado</v>
      </c>
      <c r="H60" t="str">
        <f t="shared" ca="1" si="4"/>
        <v>Reprovado</v>
      </c>
    </row>
    <row r="61" spans="1:8" x14ac:dyDescent="0.25">
      <c r="A61" t="s">
        <v>60</v>
      </c>
      <c r="B61">
        <f t="shared" ca="1" si="0"/>
        <v>10</v>
      </c>
      <c r="C61">
        <f t="shared" ca="1" si="0"/>
        <v>2</v>
      </c>
      <c r="D61">
        <f t="shared" ca="1" si="0"/>
        <v>2</v>
      </c>
      <c r="E61">
        <f t="shared" ca="1" si="1"/>
        <v>3</v>
      </c>
      <c r="F61">
        <f t="shared" ca="1" si="2"/>
        <v>2.5</v>
      </c>
      <c r="G61" t="str">
        <f t="shared" ca="1" si="3"/>
        <v>Reprovado</v>
      </c>
      <c r="H61" t="str">
        <f t="shared" ca="1" si="4"/>
        <v>Reprovado</v>
      </c>
    </row>
    <row r="62" spans="1:8" x14ac:dyDescent="0.25">
      <c r="A62" t="s">
        <v>61</v>
      </c>
      <c r="B62">
        <f t="shared" ca="1" si="0"/>
        <v>5</v>
      </c>
      <c r="C62">
        <f t="shared" ca="1" si="0"/>
        <v>1</v>
      </c>
      <c r="D62">
        <f t="shared" ca="1" si="0"/>
        <v>4</v>
      </c>
      <c r="E62">
        <f t="shared" ca="1" si="1"/>
        <v>2</v>
      </c>
      <c r="F62">
        <f t="shared" ca="1" si="2"/>
        <v>3</v>
      </c>
      <c r="G62" t="str">
        <f t="shared" ca="1" si="3"/>
        <v>Reprovado</v>
      </c>
      <c r="H62" t="str">
        <f t="shared" ca="1" si="4"/>
        <v>Reprovado</v>
      </c>
    </row>
    <row r="63" spans="1:8" x14ac:dyDescent="0.25">
      <c r="A63" t="s">
        <v>62</v>
      </c>
      <c r="B63">
        <f t="shared" ca="1" si="0"/>
        <v>7</v>
      </c>
      <c r="C63">
        <f t="shared" ca="1" si="0"/>
        <v>10</v>
      </c>
      <c r="D63">
        <f t="shared" ca="1" si="0"/>
        <v>8</v>
      </c>
      <c r="E63">
        <f t="shared" ca="1" si="1"/>
        <v>2</v>
      </c>
      <c r="F63">
        <f t="shared" ca="1" si="2"/>
        <v>7.5</v>
      </c>
      <c r="G63" t="str">
        <f t="shared" ca="1" si="3"/>
        <v>Aprovado</v>
      </c>
      <c r="H63" t="str">
        <f t="shared" ca="1" si="4"/>
        <v>Aprovado</v>
      </c>
    </row>
    <row r="64" spans="1:8" x14ac:dyDescent="0.25">
      <c r="A64" t="s">
        <v>63</v>
      </c>
      <c r="B64">
        <f t="shared" ca="1" si="0"/>
        <v>9</v>
      </c>
      <c r="C64">
        <f t="shared" ca="1" si="0"/>
        <v>1</v>
      </c>
      <c r="D64">
        <f t="shared" ca="1" si="0"/>
        <v>2</v>
      </c>
      <c r="E64">
        <f t="shared" ca="1" si="1"/>
        <v>5</v>
      </c>
      <c r="F64">
        <f t="shared" ca="1" si="2"/>
        <v>3.5</v>
      </c>
      <c r="G64" t="str">
        <f t="shared" ca="1" si="3"/>
        <v>Reprovado</v>
      </c>
      <c r="H64" t="str">
        <f t="shared" ca="1" si="4"/>
        <v>Reprovado</v>
      </c>
    </row>
    <row r="65" spans="1:8" x14ac:dyDescent="0.25">
      <c r="A65" t="s">
        <v>64</v>
      </c>
      <c r="B65">
        <f t="shared" ca="1" si="0"/>
        <v>2</v>
      </c>
      <c r="C65">
        <f t="shared" ca="1" si="0"/>
        <v>1</v>
      </c>
      <c r="D65">
        <f t="shared" ca="1" si="0"/>
        <v>0</v>
      </c>
      <c r="E65">
        <f t="shared" ca="1" si="1"/>
        <v>3</v>
      </c>
      <c r="F65">
        <f t="shared" ca="1" si="2"/>
        <v>1.5</v>
      </c>
      <c r="G65" t="str">
        <f t="shared" ca="1" si="3"/>
        <v>Reprovado</v>
      </c>
      <c r="H65" t="str">
        <f t="shared" ca="1" si="4"/>
        <v>Reprovado</v>
      </c>
    </row>
    <row r="66" spans="1:8" x14ac:dyDescent="0.25">
      <c r="A66" t="s">
        <v>65</v>
      </c>
      <c r="B66">
        <f t="shared" ref="B66:D101" ca="1" si="7">RANDBETWEEN(0,10)</f>
        <v>9</v>
      </c>
      <c r="C66">
        <f t="shared" ca="1" si="7"/>
        <v>6</v>
      </c>
      <c r="D66">
        <f t="shared" ca="1" si="7"/>
        <v>5</v>
      </c>
      <c r="E66">
        <f t="shared" ca="1" si="1"/>
        <v>1</v>
      </c>
      <c r="F66">
        <f t="shared" ca="1" si="2"/>
        <v>5.5</v>
      </c>
      <c r="G66" t="str">
        <f t="shared" ca="1" si="3"/>
        <v>Reprovado</v>
      </c>
      <c r="H66" t="str">
        <f t="shared" ca="1" si="4"/>
        <v>Reprovado</v>
      </c>
    </row>
    <row r="67" spans="1:8" x14ac:dyDescent="0.25">
      <c r="A67" t="s">
        <v>66</v>
      </c>
      <c r="B67">
        <f t="shared" ca="1" si="7"/>
        <v>2</v>
      </c>
      <c r="C67">
        <f t="shared" ca="1" si="7"/>
        <v>3</v>
      </c>
      <c r="D67">
        <f t="shared" ca="1" si="7"/>
        <v>1</v>
      </c>
      <c r="E67">
        <f t="shared" ref="E67:E101" ca="1" si="8">RANDBETWEEN(0,5)</f>
        <v>5</v>
      </c>
      <c r="F67">
        <f t="shared" ref="F67:F101" ca="1" si="9">MEDIAN(B67:E67)</f>
        <v>2.5</v>
      </c>
      <c r="G67" t="str">
        <f t="shared" ref="G67:G101" ca="1" si="10">IF(F67&gt;6,"Aprovado","Reprovado")</f>
        <v>Reprovado</v>
      </c>
      <c r="H67" t="str">
        <f t="shared" ref="H67:H101" ca="1" si="11">IF(AND(E67&lt;3,F67&gt;6),"Aprovado","Reprovado")</f>
        <v>Reprovado</v>
      </c>
    </row>
    <row r="68" spans="1:8" x14ac:dyDescent="0.25">
      <c r="A68" t="s">
        <v>67</v>
      </c>
      <c r="B68">
        <f t="shared" ca="1" si="7"/>
        <v>9</v>
      </c>
      <c r="C68">
        <f t="shared" ca="1" si="7"/>
        <v>4</v>
      </c>
      <c r="D68">
        <f t="shared" ca="1" si="7"/>
        <v>2</v>
      </c>
      <c r="E68">
        <f t="shared" ca="1" si="8"/>
        <v>2</v>
      </c>
      <c r="F68">
        <f t="shared" ca="1" si="9"/>
        <v>3</v>
      </c>
      <c r="G68" t="str">
        <f t="shared" ca="1" si="10"/>
        <v>Reprovado</v>
      </c>
      <c r="H68" t="str">
        <f t="shared" ca="1" si="11"/>
        <v>Reprovado</v>
      </c>
    </row>
    <row r="69" spans="1:8" x14ac:dyDescent="0.25">
      <c r="A69" t="s">
        <v>68</v>
      </c>
      <c r="B69">
        <f t="shared" ca="1" si="7"/>
        <v>8</v>
      </c>
      <c r="C69">
        <f t="shared" ca="1" si="7"/>
        <v>4</v>
      </c>
      <c r="D69">
        <f t="shared" ca="1" si="7"/>
        <v>3</v>
      </c>
      <c r="E69">
        <f t="shared" ca="1" si="8"/>
        <v>3</v>
      </c>
      <c r="F69">
        <f t="shared" ca="1" si="9"/>
        <v>3.5</v>
      </c>
      <c r="G69" t="str">
        <f t="shared" ca="1" si="10"/>
        <v>Reprovado</v>
      </c>
      <c r="H69" t="str">
        <f t="shared" ca="1" si="11"/>
        <v>Reprovado</v>
      </c>
    </row>
    <row r="70" spans="1:8" x14ac:dyDescent="0.25">
      <c r="A70" t="s">
        <v>69</v>
      </c>
      <c r="B70">
        <f t="shared" ca="1" si="7"/>
        <v>3</v>
      </c>
      <c r="C70">
        <f t="shared" ca="1" si="7"/>
        <v>4</v>
      </c>
      <c r="D70">
        <f t="shared" ca="1" si="7"/>
        <v>0</v>
      </c>
      <c r="E70">
        <f t="shared" ca="1" si="8"/>
        <v>1</v>
      </c>
      <c r="F70">
        <f t="shared" ca="1" si="9"/>
        <v>2</v>
      </c>
      <c r="G70" t="str">
        <f t="shared" ca="1" si="10"/>
        <v>Reprovado</v>
      </c>
      <c r="H70" t="str">
        <f t="shared" ca="1" si="11"/>
        <v>Reprovado</v>
      </c>
    </row>
    <row r="71" spans="1:8" x14ac:dyDescent="0.25">
      <c r="A71" t="s">
        <v>70</v>
      </c>
      <c r="B71">
        <f t="shared" ca="1" si="7"/>
        <v>3</v>
      </c>
      <c r="C71">
        <f t="shared" ca="1" si="7"/>
        <v>8</v>
      </c>
      <c r="D71">
        <f t="shared" ca="1" si="7"/>
        <v>10</v>
      </c>
      <c r="E71">
        <f t="shared" ca="1" si="8"/>
        <v>5</v>
      </c>
      <c r="F71">
        <f t="shared" ca="1" si="9"/>
        <v>6.5</v>
      </c>
      <c r="G71" t="str">
        <f t="shared" ca="1" si="10"/>
        <v>Aprovado</v>
      </c>
      <c r="H71" t="str">
        <f t="shared" ca="1" si="11"/>
        <v>Reprovado</v>
      </c>
    </row>
    <row r="72" spans="1:8" x14ac:dyDescent="0.25">
      <c r="A72" t="s">
        <v>71</v>
      </c>
      <c r="B72">
        <f t="shared" ca="1" si="7"/>
        <v>6</v>
      </c>
      <c r="C72">
        <f t="shared" ca="1" si="7"/>
        <v>8</v>
      </c>
      <c r="D72">
        <f t="shared" ca="1" si="7"/>
        <v>8</v>
      </c>
      <c r="E72">
        <f t="shared" ca="1" si="8"/>
        <v>5</v>
      </c>
      <c r="F72">
        <f t="shared" ca="1" si="9"/>
        <v>7</v>
      </c>
      <c r="G72" t="str">
        <f t="shared" ca="1" si="10"/>
        <v>Aprovado</v>
      </c>
      <c r="H72" t="str">
        <f t="shared" ca="1" si="11"/>
        <v>Reprovado</v>
      </c>
    </row>
    <row r="73" spans="1:8" x14ac:dyDescent="0.25">
      <c r="A73" t="s">
        <v>72</v>
      </c>
      <c r="B73">
        <f t="shared" ca="1" si="7"/>
        <v>9</v>
      </c>
      <c r="C73">
        <f t="shared" ca="1" si="7"/>
        <v>1</v>
      </c>
      <c r="D73">
        <f t="shared" ca="1" si="7"/>
        <v>8</v>
      </c>
      <c r="E73">
        <f t="shared" ca="1" si="8"/>
        <v>1</v>
      </c>
      <c r="F73">
        <f t="shared" ca="1" si="9"/>
        <v>4.5</v>
      </c>
      <c r="G73" t="str">
        <f t="shared" ca="1" si="10"/>
        <v>Reprovado</v>
      </c>
      <c r="H73" t="str">
        <f t="shared" ca="1" si="11"/>
        <v>Reprovado</v>
      </c>
    </row>
    <row r="74" spans="1:8" x14ac:dyDescent="0.25">
      <c r="A74" t="s">
        <v>73</v>
      </c>
      <c r="B74">
        <f t="shared" ca="1" si="7"/>
        <v>2</v>
      </c>
      <c r="C74">
        <f t="shared" ca="1" si="7"/>
        <v>6</v>
      </c>
      <c r="D74">
        <f t="shared" ca="1" si="7"/>
        <v>3</v>
      </c>
      <c r="E74">
        <f t="shared" ca="1" si="8"/>
        <v>4</v>
      </c>
      <c r="F74">
        <f t="shared" ca="1" si="9"/>
        <v>3.5</v>
      </c>
      <c r="G74" t="str">
        <f t="shared" ca="1" si="10"/>
        <v>Reprovado</v>
      </c>
      <c r="H74" t="str">
        <f t="shared" ca="1" si="11"/>
        <v>Reprovado</v>
      </c>
    </row>
    <row r="75" spans="1:8" x14ac:dyDescent="0.25">
      <c r="A75" t="s">
        <v>74</v>
      </c>
      <c r="B75">
        <f t="shared" ca="1" si="7"/>
        <v>0</v>
      </c>
      <c r="C75">
        <f t="shared" ca="1" si="7"/>
        <v>5</v>
      </c>
      <c r="D75">
        <f t="shared" ca="1" si="7"/>
        <v>0</v>
      </c>
      <c r="E75">
        <f t="shared" ca="1" si="8"/>
        <v>1</v>
      </c>
      <c r="F75">
        <f t="shared" ca="1" si="9"/>
        <v>0.5</v>
      </c>
      <c r="G75" t="str">
        <f t="shared" ca="1" si="10"/>
        <v>Reprovado</v>
      </c>
      <c r="H75" t="str">
        <f t="shared" ca="1" si="11"/>
        <v>Reprovado</v>
      </c>
    </row>
    <row r="76" spans="1:8" x14ac:dyDescent="0.25">
      <c r="A76" t="s">
        <v>75</v>
      </c>
      <c r="B76">
        <f t="shared" ca="1" si="7"/>
        <v>7</v>
      </c>
      <c r="C76">
        <f t="shared" ca="1" si="7"/>
        <v>10</v>
      </c>
      <c r="D76">
        <f t="shared" ca="1" si="7"/>
        <v>10</v>
      </c>
      <c r="E76">
        <f t="shared" ca="1" si="8"/>
        <v>4</v>
      </c>
      <c r="F76">
        <f t="shared" ca="1" si="9"/>
        <v>8.5</v>
      </c>
      <c r="G76" t="str">
        <f t="shared" ca="1" si="10"/>
        <v>Aprovado</v>
      </c>
      <c r="H76" t="str">
        <f t="shared" ca="1" si="11"/>
        <v>Reprovado</v>
      </c>
    </row>
    <row r="77" spans="1:8" x14ac:dyDescent="0.25">
      <c r="A77" t="s">
        <v>76</v>
      </c>
      <c r="B77">
        <f t="shared" ca="1" si="7"/>
        <v>9</v>
      </c>
      <c r="C77">
        <f t="shared" ca="1" si="7"/>
        <v>3</v>
      </c>
      <c r="D77">
        <f t="shared" ca="1" si="7"/>
        <v>9</v>
      </c>
      <c r="E77">
        <f t="shared" ca="1" si="8"/>
        <v>1</v>
      </c>
      <c r="F77">
        <f t="shared" ca="1" si="9"/>
        <v>6</v>
      </c>
      <c r="G77" t="str">
        <f t="shared" ca="1" si="10"/>
        <v>Reprovado</v>
      </c>
      <c r="H77" t="str">
        <f t="shared" ca="1" si="11"/>
        <v>Reprovado</v>
      </c>
    </row>
    <row r="78" spans="1:8" x14ac:dyDescent="0.25">
      <c r="A78" t="s">
        <v>77</v>
      </c>
      <c r="B78">
        <f t="shared" ca="1" si="7"/>
        <v>5</v>
      </c>
      <c r="C78">
        <f t="shared" ca="1" si="7"/>
        <v>10</v>
      </c>
      <c r="D78">
        <f t="shared" ca="1" si="7"/>
        <v>0</v>
      </c>
      <c r="E78">
        <f t="shared" ca="1" si="8"/>
        <v>0</v>
      </c>
      <c r="F78">
        <f t="shared" ca="1" si="9"/>
        <v>2.5</v>
      </c>
      <c r="G78" t="str">
        <f t="shared" ca="1" si="10"/>
        <v>Reprovado</v>
      </c>
      <c r="H78" t="str">
        <f t="shared" ca="1" si="11"/>
        <v>Reprovado</v>
      </c>
    </row>
    <row r="79" spans="1:8" x14ac:dyDescent="0.25">
      <c r="A79" t="s">
        <v>78</v>
      </c>
      <c r="B79">
        <f t="shared" ca="1" si="7"/>
        <v>7</v>
      </c>
      <c r="C79">
        <f t="shared" ca="1" si="7"/>
        <v>6</v>
      </c>
      <c r="D79">
        <f t="shared" ca="1" si="7"/>
        <v>8</v>
      </c>
      <c r="E79">
        <f t="shared" ca="1" si="8"/>
        <v>2</v>
      </c>
      <c r="F79">
        <f t="shared" ca="1" si="9"/>
        <v>6.5</v>
      </c>
      <c r="G79" t="str">
        <f t="shared" ca="1" si="10"/>
        <v>Aprovado</v>
      </c>
      <c r="H79" t="str">
        <f t="shared" ca="1" si="11"/>
        <v>Aprovado</v>
      </c>
    </row>
    <row r="80" spans="1:8" x14ac:dyDescent="0.25">
      <c r="A80" t="s">
        <v>79</v>
      </c>
      <c r="B80">
        <f t="shared" ca="1" si="7"/>
        <v>1</v>
      </c>
      <c r="C80">
        <f t="shared" ca="1" si="7"/>
        <v>6</v>
      </c>
      <c r="D80">
        <f t="shared" ca="1" si="7"/>
        <v>7</v>
      </c>
      <c r="E80">
        <f t="shared" ca="1" si="8"/>
        <v>4</v>
      </c>
      <c r="F80">
        <f t="shared" ca="1" si="9"/>
        <v>5</v>
      </c>
      <c r="G80" t="str">
        <f t="shared" ca="1" si="10"/>
        <v>Reprovado</v>
      </c>
      <c r="H80" t="str">
        <f t="shared" ca="1" si="11"/>
        <v>Reprovado</v>
      </c>
    </row>
    <row r="81" spans="1:8" x14ac:dyDescent="0.25">
      <c r="A81" t="s">
        <v>80</v>
      </c>
      <c r="B81">
        <f t="shared" ca="1" si="7"/>
        <v>7</v>
      </c>
      <c r="C81">
        <f t="shared" ca="1" si="7"/>
        <v>10</v>
      </c>
      <c r="D81">
        <f t="shared" ca="1" si="7"/>
        <v>0</v>
      </c>
      <c r="E81">
        <f t="shared" ca="1" si="8"/>
        <v>4</v>
      </c>
      <c r="F81">
        <f t="shared" ca="1" si="9"/>
        <v>5.5</v>
      </c>
      <c r="G81" t="str">
        <f t="shared" ca="1" si="10"/>
        <v>Reprovado</v>
      </c>
      <c r="H81" t="str">
        <f t="shared" ca="1" si="11"/>
        <v>Reprovado</v>
      </c>
    </row>
    <row r="82" spans="1:8" x14ac:dyDescent="0.25">
      <c r="A82" t="s">
        <v>81</v>
      </c>
      <c r="B82">
        <f t="shared" ca="1" si="7"/>
        <v>8</v>
      </c>
      <c r="C82">
        <f t="shared" ca="1" si="7"/>
        <v>9</v>
      </c>
      <c r="D82">
        <f t="shared" ca="1" si="7"/>
        <v>8</v>
      </c>
      <c r="E82">
        <f t="shared" ca="1" si="8"/>
        <v>1</v>
      </c>
      <c r="F82">
        <f t="shared" ca="1" si="9"/>
        <v>8</v>
      </c>
      <c r="G82" t="str">
        <f t="shared" ca="1" si="10"/>
        <v>Aprovado</v>
      </c>
      <c r="H82" t="str">
        <f t="shared" ca="1" si="11"/>
        <v>Aprovado</v>
      </c>
    </row>
    <row r="83" spans="1:8" x14ac:dyDescent="0.25">
      <c r="A83" t="s">
        <v>82</v>
      </c>
      <c r="B83">
        <f t="shared" ca="1" si="7"/>
        <v>8</v>
      </c>
      <c r="C83">
        <f t="shared" ca="1" si="7"/>
        <v>5</v>
      </c>
      <c r="D83">
        <f t="shared" ca="1" si="7"/>
        <v>3</v>
      </c>
      <c r="E83">
        <f t="shared" ca="1" si="8"/>
        <v>2</v>
      </c>
      <c r="F83">
        <f t="shared" ca="1" si="9"/>
        <v>4</v>
      </c>
      <c r="G83" t="str">
        <f t="shared" ca="1" si="10"/>
        <v>Reprovado</v>
      </c>
      <c r="H83" t="str">
        <f t="shared" ca="1" si="11"/>
        <v>Reprovado</v>
      </c>
    </row>
    <row r="84" spans="1:8" x14ac:dyDescent="0.25">
      <c r="A84" t="s">
        <v>83</v>
      </c>
      <c r="B84">
        <f t="shared" ca="1" si="7"/>
        <v>0</v>
      </c>
      <c r="C84">
        <f t="shared" ca="1" si="7"/>
        <v>0</v>
      </c>
      <c r="D84">
        <f t="shared" ca="1" si="7"/>
        <v>0</v>
      </c>
      <c r="E84">
        <f t="shared" ca="1" si="8"/>
        <v>1</v>
      </c>
      <c r="F84">
        <f t="shared" ca="1" si="9"/>
        <v>0</v>
      </c>
      <c r="G84" t="str">
        <f t="shared" ca="1" si="10"/>
        <v>Reprovado</v>
      </c>
      <c r="H84" t="str">
        <f t="shared" ca="1" si="11"/>
        <v>Reprovado</v>
      </c>
    </row>
    <row r="85" spans="1:8" x14ac:dyDescent="0.25">
      <c r="A85" t="s">
        <v>84</v>
      </c>
      <c r="B85">
        <f t="shared" ca="1" si="7"/>
        <v>2</v>
      </c>
      <c r="C85">
        <f t="shared" ca="1" si="7"/>
        <v>1</v>
      </c>
      <c r="D85">
        <f t="shared" ca="1" si="7"/>
        <v>3</v>
      </c>
      <c r="E85">
        <f t="shared" ca="1" si="8"/>
        <v>2</v>
      </c>
      <c r="F85">
        <f t="shared" ca="1" si="9"/>
        <v>2</v>
      </c>
      <c r="G85" t="str">
        <f t="shared" ca="1" si="10"/>
        <v>Reprovado</v>
      </c>
      <c r="H85" t="str">
        <f t="shared" ca="1" si="11"/>
        <v>Reprovado</v>
      </c>
    </row>
    <row r="86" spans="1:8" x14ac:dyDescent="0.25">
      <c r="A86" t="s">
        <v>85</v>
      </c>
      <c r="B86">
        <f t="shared" ca="1" si="7"/>
        <v>1</v>
      </c>
      <c r="C86">
        <f t="shared" ca="1" si="7"/>
        <v>7</v>
      </c>
      <c r="D86">
        <f t="shared" ca="1" si="7"/>
        <v>6</v>
      </c>
      <c r="E86">
        <f t="shared" ca="1" si="8"/>
        <v>1</v>
      </c>
      <c r="F86">
        <f t="shared" ca="1" si="9"/>
        <v>3.5</v>
      </c>
      <c r="G86" t="str">
        <f t="shared" ca="1" si="10"/>
        <v>Reprovado</v>
      </c>
      <c r="H86" t="str">
        <f t="shared" ca="1" si="11"/>
        <v>Reprovado</v>
      </c>
    </row>
    <row r="87" spans="1:8" x14ac:dyDescent="0.25">
      <c r="A87" t="s">
        <v>86</v>
      </c>
      <c r="B87">
        <f t="shared" ca="1" si="7"/>
        <v>8</v>
      </c>
      <c r="C87">
        <f t="shared" ca="1" si="7"/>
        <v>0</v>
      </c>
      <c r="D87">
        <f t="shared" ca="1" si="7"/>
        <v>10</v>
      </c>
      <c r="E87">
        <f t="shared" ca="1" si="8"/>
        <v>1</v>
      </c>
      <c r="F87">
        <f t="shared" ca="1" si="9"/>
        <v>4.5</v>
      </c>
      <c r="G87" t="str">
        <f t="shared" ca="1" si="10"/>
        <v>Reprovado</v>
      </c>
      <c r="H87" t="str">
        <f t="shared" ca="1" si="11"/>
        <v>Reprovado</v>
      </c>
    </row>
    <row r="88" spans="1:8" x14ac:dyDescent="0.25">
      <c r="A88" t="s">
        <v>87</v>
      </c>
      <c r="B88">
        <f t="shared" ca="1" si="7"/>
        <v>1</v>
      </c>
      <c r="C88">
        <f t="shared" ca="1" si="7"/>
        <v>1</v>
      </c>
      <c r="D88">
        <f t="shared" ca="1" si="7"/>
        <v>1</v>
      </c>
      <c r="E88">
        <f t="shared" ca="1" si="8"/>
        <v>4</v>
      </c>
      <c r="F88">
        <f t="shared" ca="1" si="9"/>
        <v>1</v>
      </c>
      <c r="G88" t="str">
        <f t="shared" ca="1" si="10"/>
        <v>Reprovado</v>
      </c>
      <c r="H88" t="str">
        <f t="shared" ca="1" si="11"/>
        <v>Reprovado</v>
      </c>
    </row>
    <row r="89" spans="1:8" x14ac:dyDescent="0.25">
      <c r="A89" t="s">
        <v>88</v>
      </c>
      <c r="B89">
        <f t="shared" ca="1" si="7"/>
        <v>6</v>
      </c>
      <c r="C89">
        <f t="shared" ca="1" si="7"/>
        <v>8</v>
      </c>
      <c r="D89">
        <f t="shared" ca="1" si="7"/>
        <v>7</v>
      </c>
      <c r="E89">
        <f t="shared" ca="1" si="8"/>
        <v>5</v>
      </c>
      <c r="F89">
        <f t="shared" ca="1" si="9"/>
        <v>6.5</v>
      </c>
      <c r="G89" t="str">
        <f t="shared" ca="1" si="10"/>
        <v>Aprovado</v>
      </c>
      <c r="H89" t="str">
        <f t="shared" ca="1" si="11"/>
        <v>Reprovado</v>
      </c>
    </row>
    <row r="90" spans="1:8" x14ac:dyDescent="0.25">
      <c r="A90" t="s">
        <v>89</v>
      </c>
      <c r="B90">
        <f t="shared" ca="1" si="7"/>
        <v>1</v>
      </c>
      <c r="C90">
        <f t="shared" ca="1" si="7"/>
        <v>5</v>
      </c>
      <c r="D90">
        <f t="shared" ca="1" si="7"/>
        <v>8</v>
      </c>
      <c r="E90">
        <f t="shared" ca="1" si="8"/>
        <v>5</v>
      </c>
      <c r="F90">
        <f t="shared" ca="1" si="9"/>
        <v>5</v>
      </c>
      <c r="G90" t="str">
        <f t="shared" ca="1" si="10"/>
        <v>Reprovado</v>
      </c>
      <c r="H90" t="str">
        <f t="shared" ca="1" si="11"/>
        <v>Reprovado</v>
      </c>
    </row>
    <row r="91" spans="1:8" x14ac:dyDescent="0.25">
      <c r="A91" t="s">
        <v>90</v>
      </c>
      <c r="B91">
        <f t="shared" ca="1" si="7"/>
        <v>8</v>
      </c>
      <c r="C91">
        <f t="shared" ca="1" si="7"/>
        <v>2</v>
      </c>
      <c r="D91">
        <f t="shared" ca="1" si="7"/>
        <v>6</v>
      </c>
      <c r="E91">
        <f t="shared" ca="1" si="8"/>
        <v>1</v>
      </c>
      <c r="F91">
        <f t="shared" ca="1" si="9"/>
        <v>4</v>
      </c>
      <c r="G91" t="str">
        <f t="shared" ca="1" si="10"/>
        <v>Reprovado</v>
      </c>
      <c r="H91" t="str">
        <f t="shared" ca="1" si="11"/>
        <v>Reprovado</v>
      </c>
    </row>
    <row r="92" spans="1:8" x14ac:dyDescent="0.25">
      <c r="A92" t="s">
        <v>91</v>
      </c>
      <c r="B92">
        <f t="shared" ca="1" si="7"/>
        <v>8</v>
      </c>
      <c r="C92">
        <f t="shared" ca="1" si="7"/>
        <v>1</v>
      </c>
      <c r="D92">
        <f t="shared" ca="1" si="7"/>
        <v>0</v>
      </c>
      <c r="E92">
        <f t="shared" ca="1" si="8"/>
        <v>5</v>
      </c>
      <c r="F92">
        <f t="shared" ca="1" si="9"/>
        <v>3</v>
      </c>
      <c r="G92" t="str">
        <f t="shared" ca="1" si="10"/>
        <v>Reprovado</v>
      </c>
      <c r="H92" t="str">
        <f t="shared" ca="1" si="11"/>
        <v>Reprovado</v>
      </c>
    </row>
    <row r="93" spans="1:8" x14ac:dyDescent="0.25">
      <c r="A93" t="s">
        <v>92</v>
      </c>
      <c r="B93">
        <f t="shared" ca="1" si="7"/>
        <v>5</v>
      </c>
      <c r="C93">
        <f t="shared" ca="1" si="7"/>
        <v>5</v>
      </c>
      <c r="D93">
        <f t="shared" ca="1" si="7"/>
        <v>9</v>
      </c>
      <c r="E93">
        <f t="shared" ca="1" si="8"/>
        <v>1</v>
      </c>
      <c r="F93">
        <f t="shared" ca="1" si="9"/>
        <v>5</v>
      </c>
      <c r="G93" t="str">
        <f t="shared" ca="1" si="10"/>
        <v>Reprovado</v>
      </c>
      <c r="H93" t="str">
        <f t="shared" ca="1" si="11"/>
        <v>Reprovado</v>
      </c>
    </row>
    <row r="94" spans="1:8" x14ac:dyDescent="0.25">
      <c r="A94" t="s">
        <v>93</v>
      </c>
      <c r="B94">
        <f t="shared" ca="1" si="7"/>
        <v>0</v>
      </c>
      <c r="C94">
        <f t="shared" ca="1" si="7"/>
        <v>1</v>
      </c>
      <c r="D94">
        <f t="shared" ca="1" si="7"/>
        <v>2</v>
      </c>
      <c r="E94">
        <f t="shared" ca="1" si="8"/>
        <v>5</v>
      </c>
      <c r="F94">
        <f t="shared" ca="1" si="9"/>
        <v>1.5</v>
      </c>
      <c r="G94" t="str">
        <f t="shared" ca="1" si="10"/>
        <v>Reprovado</v>
      </c>
      <c r="H94" t="str">
        <f t="shared" ca="1" si="11"/>
        <v>Reprovado</v>
      </c>
    </row>
    <row r="95" spans="1:8" x14ac:dyDescent="0.25">
      <c r="A95" t="s">
        <v>94</v>
      </c>
      <c r="B95">
        <f t="shared" ca="1" si="7"/>
        <v>7</v>
      </c>
      <c r="C95">
        <f t="shared" ca="1" si="7"/>
        <v>0</v>
      </c>
      <c r="D95">
        <f t="shared" ca="1" si="7"/>
        <v>3</v>
      </c>
      <c r="E95">
        <f t="shared" ca="1" si="8"/>
        <v>5</v>
      </c>
      <c r="F95">
        <f t="shared" ca="1" si="9"/>
        <v>4</v>
      </c>
      <c r="G95" t="str">
        <f t="shared" ca="1" si="10"/>
        <v>Reprovado</v>
      </c>
      <c r="H95" t="str">
        <f t="shared" ca="1" si="11"/>
        <v>Reprovado</v>
      </c>
    </row>
    <row r="96" spans="1:8" x14ac:dyDescent="0.25">
      <c r="A96" t="s">
        <v>95</v>
      </c>
      <c r="B96">
        <f t="shared" ca="1" si="7"/>
        <v>5</v>
      </c>
      <c r="C96">
        <f t="shared" ca="1" si="7"/>
        <v>1</v>
      </c>
      <c r="D96">
        <f t="shared" ca="1" si="7"/>
        <v>3</v>
      </c>
      <c r="E96">
        <f t="shared" ca="1" si="8"/>
        <v>5</v>
      </c>
      <c r="F96">
        <f t="shared" ca="1" si="9"/>
        <v>4</v>
      </c>
      <c r="G96" t="str">
        <f t="shared" ca="1" si="10"/>
        <v>Reprovado</v>
      </c>
      <c r="H96" t="str">
        <f t="shared" ca="1" si="11"/>
        <v>Reprovado</v>
      </c>
    </row>
    <row r="97" spans="1:8" x14ac:dyDescent="0.25">
      <c r="A97" t="s">
        <v>96</v>
      </c>
      <c r="B97">
        <f t="shared" ca="1" si="7"/>
        <v>10</v>
      </c>
      <c r="C97">
        <f t="shared" ca="1" si="7"/>
        <v>7</v>
      </c>
      <c r="D97">
        <f t="shared" ca="1" si="7"/>
        <v>8</v>
      </c>
      <c r="E97">
        <f t="shared" ca="1" si="8"/>
        <v>3</v>
      </c>
      <c r="F97">
        <f t="shared" ca="1" si="9"/>
        <v>7.5</v>
      </c>
      <c r="G97" t="str">
        <f t="shared" ca="1" si="10"/>
        <v>Aprovado</v>
      </c>
      <c r="H97" t="str">
        <f t="shared" ca="1" si="11"/>
        <v>Reprovado</v>
      </c>
    </row>
    <row r="98" spans="1:8" x14ac:dyDescent="0.25">
      <c r="A98" t="s">
        <v>97</v>
      </c>
      <c r="B98">
        <f t="shared" ca="1" si="7"/>
        <v>9</v>
      </c>
      <c r="C98">
        <f t="shared" ca="1" si="7"/>
        <v>1</v>
      </c>
      <c r="D98">
        <f t="shared" ca="1" si="7"/>
        <v>2</v>
      </c>
      <c r="E98">
        <f t="shared" ca="1" si="8"/>
        <v>0</v>
      </c>
      <c r="F98">
        <f t="shared" ca="1" si="9"/>
        <v>1.5</v>
      </c>
      <c r="G98" t="str">
        <f t="shared" ca="1" si="10"/>
        <v>Reprovado</v>
      </c>
      <c r="H98" t="str">
        <f t="shared" ca="1" si="11"/>
        <v>Reprovado</v>
      </c>
    </row>
    <row r="99" spans="1:8" x14ac:dyDescent="0.25">
      <c r="A99" t="s">
        <v>98</v>
      </c>
      <c r="B99">
        <f t="shared" ca="1" si="7"/>
        <v>2</v>
      </c>
      <c r="C99">
        <f t="shared" ca="1" si="7"/>
        <v>10</v>
      </c>
      <c r="D99">
        <f t="shared" ca="1" si="7"/>
        <v>6</v>
      </c>
      <c r="E99">
        <f t="shared" ca="1" si="8"/>
        <v>4</v>
      </c>
      <c r="F99">
        <f t="shared" ca="1" si="9"/>
        <v>5</v>
      </c>
      <c r="G99" t="str">
        <f t="shared" ca="1" si="10"/>
        <v>Reprovado</v>
      </c>
      <c r="H99" t="str">
        <f t="shared" ca="1" si="11"/>
        <v>Reprovado</v>
      </c>
    </row>
    <row r="100" spans="1:8" x14ac:dyDescent="0.25">
      <c r="A100" t="s">
        <v>99</v>
      </c>
      <c r="B100">
        <f t="shared" ca="1" si="7"/>
        <v>3</v>
      </c>
      <c r="C100">
        <f t="shared" ca="1" si="7"/>
        <v>6</v>
      </c>
      <c r="D100">
        <f t="shared" ca="1" si="7"/>
        <v>8</v>
      </c>
      <c r="E100">
        <f t="shared" ca="1" si="8"/>
        <v>3</v>
      </c>
      <c r="F100">
        <f t="shared" ca="1" si="9"/>
        <v>4.5</v>
      </c>
      <c r="G100" t="str">
        <f t="shared" ca="1" si="10"/>
        <v>Reprovado</v>
      </c>
      <c r="H100" t="str">
        <f t="shared" ca="1" si="11"/>
        <v>Reprovado</v>
      </c>
    </row>
    <row r="101" spans="1:8" x14ac:dyDescent="0.25">
      <c r="A101" t="s">
        <v>100</v>
      </c>
      <c r="B101">
        <f t="shared" ca="1" si="7"/>
        <v>1</v>
      </c>
      <c r="C101">
        <f t="shared" ca="1" si="7"/>
        <v>1</v>
      </c>
      <c r="D101">
        <f t="shared" ca="1" si="7"/>
        <v>5</v>
      </c>
      <c r="E101">
        <f t="shared" ca="1" si="8"/>
        <v>5</v>
      </c>
      <c r="F101">
        <f t="shared" ca="1" si="9"/>
        <v>3</v>
      </c>
      <c r="G101" t="str">
        <f t="shared" ca="1" si="10"/>
        <v>Reprovado</v>
      </c>
      <c r="H101" t="str">
        <f t="shared" ca="1" si="11"/>
        <v>Reprovado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Sousa</dc:creator>
  <cp:lastModifiedBy>Lucas Sousa</cp:lastModifiedBy>
  <dcterms:created xsi:type="dcterms:W3CDTF">2013-04-18T20:10:04Z</dcterms:created>
  <dcterms:modified xsi:type="dcterms:W3CDTF">2014-03-01T16:07:41Z</dcterms:modified>
</cp:coreProperties>
</file>